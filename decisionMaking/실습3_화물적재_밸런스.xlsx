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형" sheetId="1" state="visible" r:id="rId1"/>
    <sheet name="수식해설" sheetId="2" state="visible" r:id="rId2"/>
    <sheet name="제약조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</font>
    <font>
      <b val="1"/>
      <color rgb="00006600"/>
    </font>
    <font>
      <b val="1"/>
      <color rgb="00333399"/>
      <sz val="11"/>
    </font>
    <font>
      <b val="1"/>
      <color rgb="000000FF"/>
    </font>
    <font>
      <b val="1"/>
      <color rgb="00FF0000"/>
    </font>
    <font>
      <b val="1"/>
      <color rgb="000000FF"/>
      <sz val="12"/>
    </font>
    <font>
      <b val="1"/>
      <color rgb="00333399"/>
      <sz val="14"/>
    </font>
    <font>
      <b val="1"/>
      <color rgb="00333399"/>
      <sz val="12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DAEEF3"/>
        <bgColor rgb="00DAEEF3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FF"/>
      </left>
      <right style="medium">
        <color rgb="000000FF"/>
      </right>
      <top style="medium">
        <color rgb="000000FF"/>
      </top>
      <bottom style="medium">
        <color rgb="000000FF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  <border>
      <left style="double">
        <color rgb="000000FF"/>
      </left>
      <right style="double">
        <color rgb="000000FF"/>
      </right>
      <top style="double">
        <color rgb="000000FF"/>
      </top>
      <bottom style="double">
        <color rgb="000000F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6" fillId="3" borderId="2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2" fontId="0" fillId="4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4" borderId="3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45" customWidth="1" min="7" max="7"/>
  </cols>
  <sheetData>
    <row r="1">
      <c r="A1" s="1" t="inlineStr">
        <is>
          <t>실습 #3  화물 적재·선박 밸런스</t>
        </is>
      </c>
    </row>
    <row r="3">
      <c r="A3" s="2" t="inlineStr">
        <is>
          <t>화물 데이터</t>
        </is>
      </c>
    </row>
    <row r="4">
      <c r="B4" s="3" t="inlineStr">
        <is>
          <t>무게(tons)</t>
        </is>
      </c>
      <c r="C4" s="3" t="inlineStr">
        <is>
          <t>부피(cf/ton)</t>
        </is>
      </c>
      <c r="D4" s="3" t="inlineStr">
        <is>
          <t>이익($/ton)</t>
        </is>
      </c>
    </row>
    <row r="5">
      <c r="A5" s="4" t="inlineStr">
        <is>
          <t>Cargo A</t>
        </is>
      </c>
      <c r="B5" s="5" t="n">
        <v>20</v>
      </c>
      <c r="C5" s="5" t="n">
        <v>500</v>
      </c>
      <c r="D5" s="5" t="n">
        <v>320</v>
      </c>
      <c r="E5" s="6" t="inlineStr">
        <is>
          <t>← B5:B8</t>
        </is>
      </c>
    </row>
    <row r="6">
      <c r="A6" s="4" t="inlineStr">
        <is>
          <t>Cargo B</t>
        </is>
      </c>
      <c r="B6" s="5" t="n">
        <v>16</v>
      </c>
      <c r="C6" s="5" t="n">
        <v>700</v>
      </c>
      <c r="D6" s="5" t="n">
        <v>400</v>
      </c>
      <c r="E6" s="6" t="inlineStr">
        <is>
          <t>← C5:C8</t>
        </is>
      </c>
    </row>
    <row r="7">
      <c r="A7" s="4" t="inlineStr">
        <is>
          <t>Cargo C</t>
        </is>
      </c>
      <c r="B7" s="5" t="n">
        <v>25</v>
      </c>
      <c r="C7" s="5" t="n">
        <v>600</v>
      </c>
      <c r="D7" s="5" t="n">
        <v>360</v>
      </c>
      <c r="E7" s="6" t="inlineStr">
        <is>
          <t>← D5:D8</t>
        </is>
      </c>
    </row>
    <row r="8">
      <c r="A8" s="4" t="inlineStr">
        <is>
          <t>Cargo D</t>
        </is>
      </c>
      <c r="B8" s="5" t="n">
        <v>13</v>
      </c>
      <c r="C8" s="5" t="n">
        <v>400</v>
      </c>
      <c r="D8" s="5" t="n">
        <v>290</v>
      </c>
    </row>
    <row r="10">
      <c r="A10" s="2" t="inlineStr">
        <is>
          <t>선박 구역</t>
        </is>
      </c>
    </row>
    <row r="11">
      <c r="B11" s="3" t="inlineStr">
        <is>
          <t>최대무게(tons)</t>
        </is>
      </c>
      <c r="C11" s="3" t="inlineStr">
        <is>
          <t>최대부피(cf)</t>
        </is>
      </c>
    </row>
    <row r="12">
      <c r="A12" s="4" t="inlineStr">
        <is>
          <t>앞(Front)</t>
        </is>
      </c>
      <c r="B12" s="5" t="n">
        <v>12</v>
      </c>
      <c r="C12" s="7" t="n">
        <v>7000</v>
      </c>
    </row>
    <row r="13">
      <c r="A13" s="4" t="inlineStr">
        <is>
          <t>중간(Mid)</t>
        </is>
      </c>
      <c r="B13" s="5" t="n">
        <v>18</v>
      </c>
      <c r="C13" s="7" t="n">
        <v>9000</v>
      </c>
    </row>
    <row r="14">
      <c r="A14" s="4" t="inlineStr">
        <is>
          <t>뒤(Rear)</t>
        </is>
      </c>
      <c r="B14" s="5" t="n">
        <v>10</v>
      </c>
      <c r="C14" s="7" t="n">
        <v>5000</v>
      </c>
    </row>
    <row r="16">
      <c r="A16" s="2" t="inlineStr">
        <is>
          <t>적재 계획</t>
        </is>
      </c>
      <c r="G16" s="8" t="inlineStr">
        <is>
          <t>【결정변수 4×3 = 12개】</t>
        </is>
      </c>
    </row>
    <row r="17">
      <c r="B17" s="3" t="inlineStr">
        <is>
          <t>앞(F)</t>
        </is>
      </c>
      <c r="C17" s="3" t="inlineStr">
        <is>
          <t>중간(M)</t>
        </is>
      </c>
      <c r="D17" s="3" t="inlineStr">
        <is>
          <t>뒤(R)</t>
        </is>
      </c>
      <c r="E17" s="3" t="inlineStr">
        <is>
          <t>행합</t>
        </is>
      </c>
      <c r="F17" s="3" t="inlineStr">
        <is>
          <t>가용량</t>
        </is>
      </c>
    </row>
    <row r="18">
      <c r="A18" s="4" t="inlineStr">
        <is>
          <t>Cargo A</t>
        </is>
      </c>
      <c r="B18" s="9" t="n">
        <v>0</v>
      </c>
      <c r="C18" s="9" t="n">
        <v>0</v>
      </c>
      <c r="D18" s="9" t="n">
        <v>0</v>
      </c>
      <c r="E18" s="10">
        <f>SUM(B18:D18)</f>
        <v/>
      </c>
      <c r="F18" s="5">
        <f>$B$5</f>
        <v/>
      </c>
      <c r="G18" s="11" t="inlineStr">
        <is>
          <t>← ★결정변수 x_ij (Solver 변경 셀)</t>
        </is>
      </c>
    </row>
    <row r="19">
      <c r="A19" s="4" t="inlineStr">
        <is>
          <t>Cargo B</t>
        </is>
      </c>
      <c r="B19" s="9" t="n">
        <v>0</v>
      </c>
      <c r="C19" s="9" t="n">
        <v>0</v>
      </c>
      <c r="D19" s="9" t="n">
        <v>0</v>
      </c>
      <c r="E19" s="10">
        <f>SUM(B19:D19)</f>
        <v/>
      </c>
      <c r="F19" s="5">
        <f>$B$6</f>
        <v/>
      </c>
      <c r="G19" s="6" t="inlineStr">
        <is>
          <t>← E열=행합(화물별 적재량) ≤ F열(가용량)</t>
        </is>
      </c>
    </row>
    <row r="20">
      <c r="A20" s="4" t="inlineStr">
        <is>
          <t>Cargo C</t>
        </is>
      </c>
      <c r="B20" s="9" t="n">
        <v>0</v>
      </c>
      <c r="C20" s="9" t="n">
        <v>0</v>
      </c>
      <c r="D20" s="9" t="n">
        <v>0</v>
      </c>
      <c r="E20" s="10">
        <f>SUM(B20:D20)</f>
        <v/>
      </c>
      <c r="F20" s="5">
        <f>$B$7</f>
        <v/>
      </c>
    </row>
    <row r="21">
      <c r="A21" s="4" t="inlineStr">
        <is>
          <t>Cargo D</t>
        </is>
      </c>
      <c r="B21" s="9" t="n">
        <v>0</v>
      </c>
      <c r="C21" s="9" t="n">
        <v>0</v>
      </c>
      <c r="D21" s="9" t="n">
        <v>0</v>
      </c>
      <c r="E21" s="10">
        <f>SUM(B21:D21)</f>
        <v/>
      </c>
      <c r="F21" s="5">
        <f>$B$8</f>
        <v/>
      </c>
    </row>
    <row r="23">
      <c r="A23" s="12" t="inlineStr">
        <is>
          <t>구역별 무게합(tons)</t>
        </is>
      </c>
      <c r="B23" s="13">
        <f>SUM(B18:B21)</f>
        <v/>
      </c>
      <c r="C23" s="13">
        <f>SUM(C18:C21)</f>
        <v/>
      </c>
      <c r="D23" s="13">
        <f>SUM(D18:D21)</f>
        <v/>
      </c>
      <c r="G23" s="12" t="inlineStr">
        <is>
          <t>← 열합: 각 구역에 실린 총 무게 (무게 LHS)</t>
        </is>
      </c>
    </row>
    <row r="24">
      <c r="B24" s="14" t="inlineStr">
        <is>
          <t>&lt;=</t>
        </is>
      </c>
      <c r="C24" s="14" t="inlineStr">
        <is>
          <t>&lt;=</t>
        </is>
      </c>
      <c r="D24" s="14" t="inlineStr">
        <is>
          <t>&lt;=</t>
        </is>
      </c>
      <c r="G24" s="6" t="inlineStr">
        <is>
          <t>← 제약②: 구역 무게합 ≤ 최대무게</t>
        </is>
      </c>
    </row>
    <row r="25">
      <c r="A25" s="4" t="inlineStr">
        <is>
          <t>최대허용무게(tons)</t>
        </is>
      </c>
      <c r="B25" s="5">
        <f>$B$12</f>
        <v/>
      </c>
      <c r="C25" s="5">
        <f>$B$13</f>
        <v/>
      </c>
      <c r="D25" s="5">
        <f>$B$14</f>
        <v/>
      </c>
    </row>
    <row r="27">
      <c r="A27" s="12" t="inlineStr">
        <is>
          <t>구역별 부피합(cf)</t>
        </is>
      </c>
      <c r="B27" s="15">
        <f>SUMPRODUCT($C$5:$C$8,B18:B21)</f>
        <v/>
      </c>
      <c r="C27" s="15">
        <f>SUMPRODUCT($C$5:$C$8,C18:C21)</f>
        <v/>
      </c>
      <c r="D27" s="15">
        <f>SUMPRODUCT($C$5:$C$8,D18:D21)</f>
        <v/>
      </c>
      <c r="G27" s="12" t="inlineStr">
        <is>
          <t>← SUMPRODUCT(부피/ton, 적재톤수) = 실제 부피</t>
        </is>
      </c>
    </row>
    <row r="28">
      <c r="B28" s="14" t="inlineStr">
        <is>
          <t>&lt;=</t>
        </is>
      </c>
      <c r="C28" s="14" t="inlineStr">
        <is>
          <t>&lt;=</t>
        </is>
      </c>
      <c r="D28" s="14" t="inlineStr">
        <is>
          <t>&lt;=</t>
        </is>
      </c>
      <c r="G28" s="6" t="inlineStr">
        <is>
          <t>← 제약③: 구역 부피합 ≤ 최대부피</t>
        </is>
      </c>
    </row>
    <row r="29">
      <c r="A29" s="4" t="inlineStr">
        <is>
          <t>최대허용부피(cf)</t>
        </is>
      </c>
      <c r="B29" s="7">
        <f>$C$12</f>
        <v/>
      </c>
      <c r="C29" s="7">
        <f>$C$13</f>
        <v/>
      </c>
      <c r="D29" s="7">
        <f>$C$14</f>
        <v/>
      </c>
    </row>
    <row r="31">
      <c r="A31" s="2" t="inlineStr">
        <is>
          <t>밸런스 제약</t>
        </is>
      </c>
      <c r="G31" s="8" t="inlineStr">
        <is>
          <t>【핵심! 비율 = 비율 → 교차곱 → 선형 등식】</t>
        </is>
      </c>
    </row>
    <row r="32">
      <c r="A32" s="4" t="inlineStr">
        <is>
          <t>무게/최대무게 비율</t>
        </is>
      </c>
      <c r="B32" s="16">
        <f>B23/B25</f>
        <v/>
      </c>
      <c r="C32" s="16">
        <f>C23/C25</f>
        <v/>
      </c>
      <c r="D32" s="16">
        <f>D23/D25</f>
        <v/>
      </c>
      <c r="G32" s="6" t="inlineStr">
        <is>
          <t>← 앞/12, 중/18, 뒤/10. 이 셋이 같아야 함</t>
        </is>
      </c>
    </row>
    <row r="33">
      <c r="A33" s="4" t="inlineStr">
        <is>
          <t>밸런스 LHS (앞=중)</t>
        </is>
      </c>
      <c r="B33" s="17">
        <f>3*B23-2*C23</f>
        <v/>
      </c>
      <c r="C33" s="18" t="inlineStr">
        <is>
          <t>=</t>
        </is>
      </c>
      <c r="D33" s="5" t="n">
        <v>0</v>
      </c>
      <c r="G33" s="6" t="inlineStr">
        <is>
          <t>← 3·Σ앞 - 2·Σ중 = 0  (18·Σ앞 = 12·Σ중 의 약분)</t>
        </is>
      </c>
    </row>
    <row r="34">
      <c r="A34" s="4" t="inlineStr">
        <is>
          <t>밸런스 LHS (중=뒤)</t>
        </is>
      </c>
      <c r="B34" s="17">
        <f>5*C23-9*D23</f>
        <v/>
      </c>
      <c r="C34" s="18" t="inlineStr">
        <is>
          <t>=</t>
        </is>
      </c>
      <c r="D34" s="5" t="n">
        <v>0</v>
      </c>
      <c r="G34" s="6" t="inlineStr">
        <is>
          <t>← 5·Σ중 - 9·Σ뒤 = 0  (10·Σ중 = 18·Σ뒤 의 약분)</t>
        </is>
      </c>
    </row>
    <row r="36">
      <c r="A36" s="2" t="inlineStr">
        <is>
          <t>목적함수</t>
        </is>
      </c>
    </row>
    <row r="37">
      <c r="A37" s="2" t="inlineStr">
        <is>
          <t>총 이익 ($)</t>
        </is>
      </c>
      <c r="B37" s="19">
        <f>SUMPRODUCT($D$5:$D$8,E18:E21)</f>
        <v/>
      </c>
      <c r="G37" s="11" t="inlineStr">
        <is>
          <t>← ★목적셀: Σ(이익/ton × 화물별 적재량) → Max. 답=$13,330</t>
        </is>
      </c>
    </row>
    <row r="39">
      <c r="A39" s="8" t="inlineStr">
        <is>
          <t>수식 참조</t>
        </is>
      </c>
    </row>
    <row r="40">
      <c r="A40" s="12" t="inlineStr">
        <is>
          <t>E18 = SUM(B18:D18)              행합: 화물A 적재량</t>
        </is>
      </c>
    </row>
    <row r="41">
      <c r="A41" s="12" t="inlineStr">
        <is>
          <t>B23 = SUM(B18:B21)              열합: 앞 구역 총 무게</t>
        </is>
      </c>
    </row>
    <row r="42">
      <c r="A42" s="12" t="inlineStr">
        <is>
          <t>B27 = SUMPRODUCT($C$5:$C$8, B18:B21)  앞 구역 총 부피</t>
        </is>
      </c>
    </row>
    <row r="43">
      <c r="A43" s="12" t="inlineStr">
        <is>
          <t>B32 = B23/B25                   비율 (확인용, 제약 아님)</t>
        </is>
      </c>
    </row>
    <row r="44">
      <c r="A44" s="12" t="inlineStr">
        <is>
          <t>B33 = 3*B23 - 2*C23             밸런스 LHS (= 0이어야)</t>
        </is>
      </c>
    </row>
    <row r="45">
      <c r="A45" s="12" t="inlineStr">
        <is>
          <t>B34 = 5*C23 - 9*D23             밸런스 LHS (= 0이어야)</t>
        </is>
      </c>
    </row>
    <row r="46">
      <c r="A46" s="12" t="inlineStr">
        <is>
          <t>B37 = SUMPRODUCT($D$5:$D$8, E18:E21)  총이익 (목적 셀)</t>
        </is>
      </c>
    </row>
    <row r="48">
      <c r="A48" s="8" t="inlineStr">
        <is>
          <t>Solver 설정</t>
        </is>
      </c>
    </row>
    <row r="49">
      <c r="A49" s="4" t="inlineStr">
        <is>
          <t>목적 셀</t>
        </is>
      </c>
      <c r="B49" s="14" t="inlineStr">
        <is>
          <t>B37</t>
        </is>
      </c>
      <c r="D49" s="6" t="inlineStr">
        <is>
          <t>→ Max</t>
        </is>
      </c>
    </row>
    <row r="50">
      <c r="A50" s="4" t="inlineStr">
        <is>
          <t>변경 셀</t>
        </is>
      </c>
      <c r="B50" s="14" t="inlineStr">
        <is>
          <t>B18:D21 (12개)</t>
        </is>
      </c>
      <c r="D50" s="6" t="inlineStr">
        <is>
          <t>x_ij (화물×구역)</t>
        </is>
      </c>
    </row>
    <row r="51">
      <c r="A51" s="4" t="inlineStr">
        <is>
          <t>제약①</t>
        </is>
      </c>
      <c r="B51" s="14" t="inlineStr">
        <is>
          <t>E18:E21 ≤ F18:F21</t>
        </is>
      </c>
      <c r="D51" s="6" t="inlineStr">
        <is>
          <t>화물 가용량</t>
        </is>
      </c>
    </row>
    <row r="52">
      <c r="A52" s="4" t="inlineStr">
        <is>
          <t>제약②</t>
        </is>
      </c>
      <c r="B52" s="14" t="inlineStr">
        <is>
          <t>B23:D23 ≤ B25:D25</t>
        </is>
      </c>
      <c r="D52" s="6" t="inlineStr">
        <is>
          <t>구역 무게 상한</t>
        </is>
      </c>
    </row>
    <row r="53">
      <c r="A53" s="4" t="inlineStr">
        <is>
          <t>제약③</t>
        </is>
      </c>
      <c r="B53" s="14" t="inlineStr">
        <is>
          <t>B27:D27 ≤ B29:D29</t>
        </is>
      </c>
      <c r="D53" s="6" t="inlineStr">
        <is>
          <t>구역 부피 상한</t>
        </is>
      </c>
    </row>
    <row r="54">
      <c r="A54" s="4" t="inlineStr">
        <is>
          <t>제약④</t>
        </is>
      </c>
      <c r="B54" s="14" t="inlineStr">
        <is>
          <t>B33 = D33 (=0)</t>
        </is>
      </c>
      <c r="D54" s="6" t="inlineStr">
        <is>
          <t>밸런스 앞=중</t>
        </is>
      </c>
    </row>
    <row r="55">
      <c r="A55" s="4" t="inlineStr">
        <is>
          <t>제약⑤</t>
        </is>
      </c>
      <c r="B55" s="14" t="inlineStr">
        <is>
          <t>B34 = D34 (=0)</t>
        </is>
      </c>
      <c r="D55" s="6" t="inlineStr">
        <is>
          <t>밸런스 중=뒤</t>
        </is>
      </c>
    </row>
    <row r="56">
      <c r="A56" s="4" t="inlineStr">
        <is>
          <t>비음</t>
        </is>
      </c>
      <c r="B56" s="14" t="inlineStr">
        <is>
          <t>B18:D21 ≥ 0</t>
        </is>
      </c>
      <c r="D56" s="6" t="inlineStr">
        <is>
          <t>Solver 옵션</t>
        </is>
      </c>
    </row>
    <row r="57">
      <c r="A57" s="4" t="inlineStr">
        <is>
          <t>해법</t>
        </is>
      </c>
      <c r="B57" s="14" t="inlineStr">
        <is>
          <t>Simplex LP</t>
        </is>
      </c>
      <c r="D57" s="6" t="inlineStr">
        <is>
          <t>답: $13,330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55" customWidth="1" min="4" max="4"/>
  </cols>
  <sheetData>
    <row r="1">
      <c r="A1" s="20" t="inlineStr">
        <is>
          <t>수식 해설 — 화물·밸런스 문제</t>
        </is>
      </c>
    </row>
    <row r="3">
      <c r="A3" s="3" t="inlineStr">
        <is>
          <t>셀</t>
        </is>
      </c>
      <c r="B3" s="3" t="inlineStr">
        <is>
          <t>수식</t>
        </is>
      </c>
      <c r="C3" s="3" t="inlineStr">
        <is>
          <t>계산 내용</t>
        </is>
      </c>
      <c r="D3" s="3" t="inlineStr">
        <is>
          <t>인과</t>
        </is>
      </c>
    </row>
    <row r="4">
      <c r="A4" s="21" t="inlineStr">
        <is>
          <t>B18:D21</t>
        </is>
      </c>
      <c r="B4" s="22" t="inlineStr">
        <is>
          <t>★ 결정변수</t>
        </is>
      </c>
      <c r="C4" s="22" t="inlineStr">
        <is>
          <t>화물i를 구역j에 싣는 톤수 x_ij</t>
        </is>
      </c>
      <c r="D4" s="22" t="inlineStr">
        <is>
          <t>Solver 변경 셀. 4×3=12개</t>
        </is>
      </c>
    </row>
    <row r="5">
      <c r="A5" s="21" t="inlineStr">
        <is>
          <t>E18</t>
        </is>
      </c>
      <c r="B5" s="22">
        <f>SUM(B18:D18)</f>
        <v/>
      </c>
      <c r="C5" s="22" t="inlineStr">
        <is>
          <t>화물A 적재 총량 (행합)</t>
        </is>
      </c>
      <c r="D5" s="22" t="inlineStr">
        <is>
          <t>화물 가용 제약 LHS. ≤ 20</t>
        </is>
      </c>
    </row>
    <row r="6">
      <c r="A6" s="21" t="inlineStr">
        <is>
          <t>B23</t>
        </is>
      </c>
      <c r="B6" s="22">
        <f>SUM(B18:B21)</f>
        <v/>
      </c>
      <c r="C6" s="22" t="inlineStr">
        <is>
          <t>앞 구역 총 무게 (열합)</t>
        </is>
      </c>
      <c r="D6" s="22" t="inlineStr">
        <is>
          <t>구역 무게 제약 LHS. ≤ 12</t>
        </is>
      </c>
    </row>
    <row r="7">
      <c r="A7" s="21" t="inlineStr">
        <is>
          <t>B27</t>
        </is>
      </c>
      <c r="B7" s="22">
        <f>SUMPRODUCT($C$5:$C$8,B18:B21)</f>
        <v/>
      </c>
      <c r="C7" s="22" t="inlineStr">
        <is>
          <t>앞 구역 총 부피</t>
        </is>
      </c>
      <c r="D7" s="22" t="inlineStr">
        <is>
          <t>500·xAF+700·xBF+600·xCF+400·xDF. ≤ 7000</t>
        </is>
      </c>
    </row>
    <row r="8">
      <c r="A8" s="21" t="inlineStr">
        <is>
          <t>B32</t>
        </is>
      </c>
      <c r="B8" s="22">
        <f>B23/B25</f>
        <v/>
      </c>
      <c r="C8" s="22" t="inlineStr">
        <is>
          <t>비율 (앞무게/앞최대)</t>
        </is>
      </c>
      <c r="D8" s="22" t="inlineStr">
        <is>
          <t>확인용. 최적해에서 B32=C32=D32이면 밸런스 OK</t>
        </is>
      </c>
    </row>
    <row r="9">
      <c r="A9" s="21" t="inlineStr">
        <is>
          <t>B33</t>
        </is>
      </c>
      <c r="B9" s="22">
        <f>3*B23-2*C23</f>
        <v/>
      </c>
      <c r="C9" s="22" t="inlineStr">
        <is>
          <t>밸런스 LHS: 3Σ앞-2Σ중</t>
        </is>
      </c>
      <c r="D9" s="22">
        <f>0이어야. 18Σ앞=12Σ중을 약분한 형태</f>
        <v/>
      </c>
    </row>
    <row r="10">
      <c r="A10" s="21" t="inlineStr">
        <is>
          <t>B34</t>
        </is>
      </c>
      <c r="B10" s="22">
        <f>5*C23-9*D23</f>
        <v/>
      </c>
      <c r="C10" s="22" t="inlineStr">
        <is>
          <t>밸런스 LHS: 5Σ중-9Σ뒤</t>
        </is>
      </c>
      <c r="D10" s="22">
        <f>0이어야. 10Σ중=18Σ뒤를 약분한 형태</f>
        <v/>
      </c>
    </row>
    <row r="11">
      <c r="A11" s="21" t="inlineStr">
        <is>
          <t>B37</t>
        </is>
      </c>
      <c r="B11" s="22">
        <f>SUMPRODUCT($D$5:$D$8,E18:E21)</f>
        <v/>
      </c>
      <c r="C11" s="22" t="inlineStr">
        <is>
          <t>총이익 = Σ(이익단가×적재량)</t>
        </is>
      </c>
      <c r="D11" s="22" t="inlineStr">
        <is>
          <t>★ 목적 셀 → Max. 답: $13,330</t>
        </is>
      </c>
    </row>
    <row r="14">
      <c r="A14" s="23" t="inlineStr">
        <is>
          <t>밸런스 제약 도출 과정</t>
        </is>
      </c>
    </row>
    <row r="15">
      <c r="A15" s="24" t="inlineStr">
        <is>
          <t>원래 조건: 앞무게/12 = 중무게/18 = 뒤무게/10</t>
        </is>
      </c>
    </row>
    <row r="16">
      <c r="A16" s="24" t="inlineStr"/>
    </row>
    <row r="17">
      <c r="A17" s="24" t="inlineStr">
        <is>
          <t>(예) 앞=6, 중=9, 뒤=5 → 6/12=0.5, 9/18=0.5, 5/10=0.5 OK</t>
        </is>
      </c>
    </row>
    <row r="18">
      <c r="A18" s="24" t="inlineStr"/>
    </row>
    <row r="19">
      <c r="A19" s="24" t="inlineStr">
        <is>
          <t>등식 2개로 분리:</t>
        </is>
      </c>
    </row>
    <row r="20">
      <c r="A20" s="24" t="inlineStr">
        <is>
          <t xml:space="preserve">  앞/12 = 중/18  →  18·앞 = 12·중  →  3·앞 - 2·중 = 0</t>
        </is>
      </c>
    </row>
    <row r="21">
      <c r="A21" s="24" t="inlineStr">
        <is>
          <t xml:space="preserve">  중/18 = 뒤/10  →  10·중 = 18·뒤  →  5·중 - 9·뒤 = 0</t>
        </is>
      </c>
    </row>
    <row r="22">
      <c r="A22" s="24" t="inlineStr"/>
    </row>
    <row r="23">
      <c r="A23" s="24" t="inlineStr">
        <is>
          <t>W사 품질 제약과의 비교:</t>
        </is>
      </c>
    </row>
    <row r="24">
      <c r="A24" s="24" t="inlineStr">
        <is>
          <t xml:space="preserve">  W사: 가중평균 ≥ 기준 → 분수→선형 '부등식'</t>
        </is>
      </c>
    </row>
    <row r="25">
      <c r="A25" s="24" t="inlineStr">
        <is>
          <t xml:space="preserve">  여기: 비율 = 비율 → 교차곱→선형 '등식'</t>
        </is>
      </c>
    </row>
    <row r="26">
      <c r="A26" s="24" t="inlineStr">
        <is>
          <t xml:space="preserve">  같은 '비율 선형화' 기법이되, 부등식 vs 등식이 다름</t>
        </is>
      </c>
    </row>
  </sheetData>
  <mergeCells count="12">
    <mergeCell ref="A17:D17"/>
    <mergeCell ref="A18:D18"/>
    <mergeCell ref="A23:D23"/>
    <mergeCell ref="A22:D22"/>
    <mergeCell ref="A20:D20"/>
    <mergeCell ref="A21:D21"/>
    <mergeCell ref="A26:D26"/>
    <mergeCell ref="A15:D15"/>
    <mergeCell ref="A25:D25"/>
    <mergeCell ref="A24:D24"/>
    <mergeCell ref="A19:D19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6" customWidth="1" min="4" max="4"/>
    <col width="55" customWidth="1" min="5" max="5"/>
  </cols>
  <sheetData>
    <row r="1">
      <c r="A1" s="20" t="inlineStr">
        <is>
          <t>제약조건 해설</t>
        </is>
      </c>
    </row>
    <row r="3">
      <c r="A3" s="3" t="inlineStr">
        <is>
          <t>#</t>
        </is>
      </c>
      <c r="B3" s="3" t="inlineStr">
        <is>
          <t>제약 이름</t>
        </is>
      </c>
      <c r="C3" s="3" t="inlineStr">
        <is>
          <t>수식</t>
        </is>
      </c>
      <c r="D3" s="3" t="inlineStr">
        <is>
          <t>엑셀 셀</t>
        </is>
      </c>
      <c r="E3" s="3" t="inlineStr">
        <is>
          <t>인과</t>
        </is>
      </c>
    </row>
    <row r="4">
      <c r="A4" s="25" t="inlineStr">
        <is>
          <t>①</t>
        </is>
      </c>
      <c r="B4" s="25" t="inlineStr">
        <is>
          <t>화물 가용량</t>
        </is>
      </c>
      <c r="C4" s="25" t="inlineStr">
        <is>
          <t>Σ_j x_ij ≤ W_i (4개)</t>
        </is>
      </c>
      <c r="D4" s="25" t="inlineStr">
        <is>
          <t>E18:E21 ≤ F18:F21</t>
        </is>
      </c>
      <c r="E4" s="25" t="inlineStr">
        <is>
          <t>화물 보유톤수 초과 불가. 전량 실을 필요 없음(≤)</t>
        </is>
      </c>
    </row>
    <row r="5">
      <c r="A5" s="25" t="inlineStr">
        <is>
          <t>②</t>
        </is>
      </c>
      <c r="B5" s="25" t="inlineStr">
        <is>
          <t>구역 무게</t>
        </is>
      </c>
      <c r="C5" s="25" t="inlineStr">
        <is>
          <t>Σ_i x_ij ≤ C_j^w (3개)</t>
        </is>
      </c>
      <c r="D5" s="25" t="inlineStr">
        <is>
          <t>B23:D23 ≤ B25:D25</t>
        </is>
      </c>
      <c r="E5" s="25" t="inlineStr">
        <is>
          <t>구역별 적재 무게 한도</t>
        </is>
      </c>
    </row>
    <row r="6">
      <c r="A6" s="25" t="inlineStr">
        <is>
          <t>③</t>
        </is>
      </c>
      <c r="B6" s="25" t="inlineStr">
        <is>
          <t>구역 부피</t>
        </is>
      </c>
      <c r="C6" s="25" t="inlineStr">
        <is>
          <t>Σ_i v_i·x_ij ≤ C_j^v (3개)</t>
        </is>
      </c>
      <c r="D6" s="25" t="inlineStr">
        <is>
          <t>B27:D27 ≤ B29:D29</t>
        </is>
      </c>
      <c r="E6" s="25" t="inlineStr">
        <is>
          <t>부피/ton이 다르므로 SUMPRODUCT로 계산</t>
        </is>
      </c>
    </row>
    <row r="7">
      <c r="A7" s="26" t="inlineStr">
        <is>
          <t>④</t>
        </is>
      </c>
      <c r="B7" s="26" t="inlineStr">
        <is>
          <t>밸런스(앞=중)</t>
        </is>
      </c>
      <c r="C7" s="26" t="inlineStr">
        <is>
          <t>3·Σ앞 - 2·Σ중 = 0</t>
        </is>
      </c>
      <c r="D7" s="26" t="inlineStr">
        <is>
          <t>B33 = 0</t>
        </is>
      </c>
      <c r="E7" s="26" t="inlineStr">
        <is>
          <t>★ 선박 균형. 비율→교차곱→등식</t>
        </is>
      </c>
    </row>
    <row r="8">
      <c r="A8" s="26" t="inlineStr">
        <is>
          <t>⑤</t>
        </is>
      </c>
      <c r="B8" s="26" t="inlineStr">
        <is>
          <t>밸런스(중=뒤)</t>
        </is>
      </c>
      <c r="C8" s="26" t="inlineStr">
        <is>
          <t>5·Σ중 - 9·Σ뒤 = 0</t>
        </is>
      </c>
      <c r="D8" s="26" t="inlineStr">
        <is>
          <t>B34 = 0</t>
        </is>
      </c>
      <c r="E8" s="26" t="inlineStr">
        <is>
          <t>★ 독립 등식 2개로 3구역 비율 동일 보장</t>
        </is>
      </c>
    </row>
    <row r="9">
      <c r="A9" s="27" t="inlineStr">
        <is>
          <t>⑥</t>
        </is>
      </c>
      <c r="B9" s="27" t="inlineStr">
        <is>
          <t>비음</t>
        </is>
      </c>
      <c r="C9" s="27" t="inlineStr">
        <is>
          <t>x_ij ≥ 0</t>
        </is>
      </c>
      <c r="D9" s="27" t="inlineStr">
        <is>
          <t>B18:D21 ≥ 0</t>
        </is>
      </c>
      <c r="E9" s="27" t="inlineStr">
        <is>
          <t>음수 적재 불가</t>
        </is>
      </c>
    </row>
    <row r="12">
      <c r="A12" s="23" t="inlineStr">
        <is>
          <t>Solver 설정</t>
        </is>
      </c>
    </row>
    <row r="13">
      <c r="A13" s="3" t="inlineStr">
        <is>
          <t>항목</t>
        </is>
      </c>
      <c r="B13" s="3" t="inlineStr">
        <is>
          <t>설정</t>
        </is>
      </c>
      <c r="C13" s="3" t="inlineStr">
        <is>
          <t>비고</t>
        </is>
      </c>
    </row>
    <row r="14">
      <c r="A14" s="4" t="inlineStr">
        <is>
          <t>목적 셀</t>
        </is>
      </c>
      <c r="B14" s="22" t="inlineStr">
        <is>
          <t>B37</t>
        </is>
      </c>
      <c r="C14" s="22" t="inlineStr">
        <is>
          <t>→ Max</t>
        </is>
      </c>
    </row>
    <row r="15">
      <c r="A15" s="4" t="inlineStr">
        <is>
          <t>변경 셀</t>
        </is>
      </c>
      <c r="B15" s="22" t="inlineStr">
        <is>
          <t>B18:D21 (12개)</t>
        </is>
      </c>
      <c r="C15" s="22" t="inlineStr">
        <is>
          <t>x_ij</t>
        </is>
      </c>
    </row>
    <row r="16">
      <c r="A16" s="4" t="inlineStr">
        <is>
          <t>제약①</t>
        </is>
      </c>
      <c r="B16" s="22" t="inlineStr">
        <is>
          <t>E18:E21 ≤ F18:F21</t>
        </is>
      </c>
      <c r="C16" s="22" t="inlineStr">
        <is>
          <t>화물 가용</t>
        </is>
      </c>
    </row>
    <row r="17">
      <c r="A17" s="4" t="inlineStr">
        <is>
          <t>제약②</t>
        </is>
      </c>
      <c r="B17" s="22" t="inlineStr">
        <is>
          <t>B23:D23 ≤ B25:D25</t>
        </is>
      </c>
      <c r="C17" s="22" t="inlineStr">
        <is>
          <t>구역 무게</t>
        </is>
      </c>
    </row>
    <row r="18">
      <c r="A18" s="4" t="inlineStr">
        <is>
          <t>제약③</t>
        </is>
      </c>
      <c r="B18" s="22" t="inlineStr">
        <is>
          <t>B27:D27 ≤ B29:D29</t>
        </is>
      </c>
      <c r="C18" s="22" t="inlineStr">
        <is>
          <t>구역 부피</t>
        </is>
      </c>
    </row>
    <row r="19">
      <c r="A19" s="4" t="inlineStr">
        <is>
          <t>제약④</t>
        </is>
      </c>
      <c r="B19" s="22" t="inlineStr">
        <is>
          <t>B33 = D33</t>
        </is>
      </c>
      <c r="C19" s="22" t="inlineStr">
        <is>
          <t>밸런스 앞=중 (=0)</t>
        </is>
      </c>
    </row>
    <row r="20">
      <c r="A20" s="4" t="inlineStr">
        <is>
          <t>제약⑤</t>
        </is>
      </c>
      <c r="B20" s="22" t="inlineStr">
        <is>
          <t>B34 = D34</t>
        </is>
      </c>
      <c r="C20" s="22" t="inlineStr">
        <is>
          <t>밸런스 중=뒤 (=0)</t>
        </is>
      </c>
    </row>
    <row r="21">
      <c r="A21" s="4" t="inlineStr">
        <is>
          <t>비음</t>
        </is>
      </c>
      <c r="B21" s="22" t="inlineStr">
        <is>
          <t>B18:D21 ≥ 0</t>
        </is>
      </c>
      <c r="C21" s="22" t="inlineStr">
        <is>
          <t>Solver 옵션</t>
        </is>
      </c>
    </row>
    <row r="22">
      <c r="A22" s="4" t="inlineStr">
        <is>
          <t>해법</t>
        </is>
      </c>
      <c r="B22" s="22" t="inlineStr">
        <is>
          <t>Simplex LP</t>
        </is>
      </c>
      <c r="C22" s="22" t="inlineStr">
        <is>
          <t>답: $13,330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2026-03-30T07:21:35Z</dcterms:created>
  <dcterms:modified xsi:type="dcterms:W3CDTF">2026-03-30T07:21:35Z</dcterms:modified>
</cp:coreProperties>
</file>