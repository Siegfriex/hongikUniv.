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형" sheetId="1" state="visible" r:id="rId1"/>
    <sheet name="수식해설" sheetId="2" state="visible" r:id="rId2"/>
    <sheet name="제약조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4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</font>
    <font>
      <b val="1"/>
      <color rgb="00006600"/>
    </font>
    <font>
      <b val="1"/>
      <color rgb="00333399"/>
      <sz val="11"/>
    </font>
    <font>
      <b val="1"/>
      <color rgb="000000FF"/>
    </font>
    <font>
      <b val="1"/>
      <color rgb="00FF0000"/>
    </font>
    <font>
      <b val="1"/>
      <color rgb="000000FF"/>
      <sz val="12"/>
    </font>
    <font>
      <b val="1"/>
      <color rgb="00333399"/>
      <sz val="14"/>
    </font>
    <font>
      <b val="1"/>
      <color rgb="00333399"/>
      <sz val="12"/>
    </font>
    <font>
      <name val="Consolas"/>
      <sz val="10"/>
    </font>
    <font>
      <b val="1"/>
      <color rgb="00FF0000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DAEEF3"/>
        <bgColor rgb="00DAEEF3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FF"/>
      </left>
      <right style="medium">
        <color rgb="000000FF"/>
      </right>
      <top style="medium">
        <color rgb="000000FF"/>
      </top>
      <bottom style="medium">
        <color rgb="000000FF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5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0" fillId="4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>
      <c r="A1" s="1" t="inlineStr">
        <is>
          <t>W사의 혼합생산(초기해)</t>
        </is>
      </c>
    </row>
    <row r="3">
      <c r="A3" s="2" t="inlineStr">
        <is>
          <t>입력요소</t>
        </is>
      </c>
    </row>
    <row r="4">
      <c r="A4" s="3" t="inlineStr">
        <is>
          <t>보유 포도등급</t>
        </is>
      </c>
      <c r="B4" s="4" t="n">
        <v>9</v>
      </c>
      <c r="C4" s="4" t="n">
        <v>6</v>
      </c>
      <c r="D4" s="4" t="n">
        <v>4</v>
      </c>
      <c r="F4" s="5" t="inlineStr">
        <is>
          <t>← 등급 벡터 (SUMPRODUCT 가중치)</t>
        </is>
      </c>
    </row>
    <row r="6">
      <c r="B6" s="6" t="inlineStr">
        <is>
          <t>포도젤리</t>
        </is>
      </c>
      <c r="C6" s="6" t="inlineStr">
        <is>
          <t>포도주스</t>
        </is>
      </c>
    </row>
    <row r="7">
      <c r="A7" s="3" t="inlineStr">
        <is>
          <t>판매이익(천원)</t>
        </is>
      </c>
      <c r="B7" s="7" t="n">
        <v>2.7</v>
      </c>
      <c r="C7" s="7" t="n">
        <v>3.5</v>
      </c>
      <c r="F7" s="5" t="inlineStr">
        <is>
          <t>← 목적계수. 주스(3.5) &gt; 젤리(2.7)</t>
        </is>
      </c>
    </row>
    <row r="8">
      <c r="A8" s="3" t="inlineStr">
        <is>
          <t>요구등급</t>
        </is>
      </c>
      <c r="B8" s="7" t="n">
        <v>5</v>
      </c>
      <c r="C8" s="7" t="n">
        <v>7</v>
      </c>
      <c r="F8" s="5" t="inlineStr">
        <is>
          <t>← 품질 기준. 주스(7)가 젤리(5)보다 까다로움</t>
        </is>
      </c>
    </row>
    <row r="10">
      <c r="A10" s="2" t="inlineStr">
        <is>
          <t>모형</t>
        </is>
      </c>
      <c r="E10" s="3" t="inlineStr">
        <is>
          <t>(1000Kgr단위)</t>
        </is>
      </c>
      <c r="F10" s="8" t="inlineStr">
        <is>
          <t>【결정변수 영역】</t>
        </is>
      </c>
    </row>
    <row r="11">
      <c r="B11" s="6" t="inlineStr">
        <is>
          <t>9등급</t>
        </is>
      </c>
      <c r="C11" s="6" t="inlineStr">
        <is>
          <t>6등급</t>
        </is>
      </c>
      <c r="D11" s="6" t="inlineStr">
        <is>
          <t>4등급</t>
        </is>
      </c>
      <c r="E11" s="6" t="inlineStr">
        <is>
          <t>생산량</t>
        </is>
      </c>
    </row>
    <row r="12">
      <c r="A12" s="3" t="inlineStr">
        <is>
          <t>포도젤리 혼합량</t>
        </is>
      </c>
      <c r="B12" s="9" t="n">
        <v>20</v>
      </c>
      <c r="C12" s="9" t="n">
        <v>30</v>
      </c>
      <c r="D12" s="9" t="n">
        <v>15</v>
      </c>
      <c r="E12" s="10">
        <f>SUM(B12:D12)</f>
        <v/>
      </c>
      <c r="F12" s="11" t="inlineStr">
        <is>
          <t>← ★결정변수 x₁₁,x₁₂,x₁₃ / E12=SUM(B12:D12)</t>
        </is>
      </c>
    </row>
    <row r="13">
      <c r="A13" s="3" t="inlineStr">
        <is>
          <t>포도주스 혼합량</t>
        </is>
      </c>
      <c r="B13" s="9" t="n">
        <v>20</v>
      </c>
      <c r="C13" s="9" t="n">
        <v>30</v>
      </c>
      <c r="D13" s="9" t="n">
        <v>15</v>
      </c>
      <c r="E13" s="10">
        <f>SUM(B13:D13)</f>
        <v/>
      </c>
      <c r="F13" s="11" t="inlineStr">
        <is>
          <t>← ★결정변수 x₂₁,x₂₂,x₂₃ / E13=SUM(B13:D13)</t>
        </is>
      </c>
    </row>
    <row r="14">
      <c r="A14" s="12" t="inlineStr">
        <is>
          <t>등급별 포도사용량</t>
        </is>
      </c>
      <c r="B14" s="13">
        <f>SUM(B12:B13)</f>
        <v/>
      </c>
      <c r="C14" s="13">
        <f>SUM(C12:C13)</f>
        <v/>
      </c>
      <c r="D14" s="13">
        <f>SUM(D12:D13)</f>
        <v/>
      </c>
      <c r="F14" s="12" t="inlineStr">
        <is>
          <t>← 열합: 젤리+주스에 투입된 등급별 합 (자원 LHS)</t>
        </is>
      </c>
    </row>
    <row r="15">
      <c r="A15" s="3" t="inlineStr">
        <is>
          <t>(1000Kgr단위)</t>
        </is>
      </c>
      <c r="B15" s="14" t="inlineStr">
        <is>
          <t>&lt;=</t>
        </is>
      </c>
      <c r="C15" s="14" t="inlineStr">
        <is>
          <t>&lt;=</t>
        </is>
      </c>
      <c r="D15" s="14" t="inlineStr">
        <is>
          <t>&lt;=</t>
        </is>
      </c>
      <c r="F15" s="5" t="inlineStr">
        <is>
          <t>← 제약①②③: 사용량 ≤ 보유량</t>
        </is>
      </c>
    </row>
    <row r="16">
      <c r="A16" s="3" t="inlineStr">
        <is>
          <t>등급별 포도보유량</t>
        </is>
      </c>
      <c r="B16" s="10" t="n">
        <v>40</v>
      </c>
      <c r="C16" s="10" t="n">
        <v>60</v>
      </c>
      <c r="D16" s="10" t="n">
        <v>60</v>
      </c>
      <c r="F16" s="5" t="inlineStr">
        <is>
          <t>← 자원 RHS: 40, 60, 60 (만kg)</t>
        </is>
      </c>
    </row>
    <row r="18">
      <c r="B18" s="6" t="inlineStr">
        <is>
          <t>투입 등급점수</t>
        </is>
      </c>
      <c r="D18" s="6" t="inlineStr">
        <is>
          <t>기준등급 점수</t>
        </is>
      </c>
      <c r="F18" s="8" t="inlineStr">
        <is>
          <t>【품질 제약 영역】</t>
        </is>
      </c>
    </row>
    <row r="19">
      <c r="A19" s="3" t="inlineStr">
        <is>
          <t>포도젤리 등급제한</t>
        </is>
      </c>
      <c r="B19" s="15">
        <f>SUMPRODUCT($B$4:$D$4,B12:D12)</f>
        <v/>
      </c>
      <c r="C19" s="16" t="inlineStr">
        <is>
          <t>&gt;=</t>
        </is>
      </c>
      <c r="D19" s="15">
        <f>$B$8*E12</f>
        <v/>
      </c>
      <c r="F19" s="5" t="inlineStr">
        <is>
          <t>← 제약④: 9x₁₁+6x₁₂+4x₁₃ ≥ 5·(생산량)</t>
        </is>
      </c>
    </row>
    <row r="20">
      <c r="A20" s="3" t="inlineStr">
        <is>
          <t>포도주스 등급제한</t>
        </is>
      </c>
      <c r="B20" s="15">
        <f>SUMPRODUCT($B$4:$D$4,B13:D13)</f>
        <v/>
      </c>
      <c r="C20" s="16" t="inlineStr">
        <is>
          <t>&gt;=</t>
        </is>
      </c>
      <c r="D20" s="15">
        <f>$C$8*E13</f>
        <v/>
      </c>
      <c r="F20" s="5" t="inlineStr">
        <is>
          <t>← 제약⑤: 9x₂₁+6x₂₂+4x₂₃ ≥ 7·(생산량)</t>
        </is>
      </c>
    </row>
    <row r="21">
      <c r="B21" s="3" t="inlineStr">
        <is>
          <t>(백만원)</t>
        </is>
      </c>
    </row>
    <row r="22">
      <c r="A22" s="2" t="inlineStr">
        <is>
          <t>총 판매이익</t>
        </is>
      </c>
      <c r="B22" s="17">
        <f>$B$7*E12+$C$7*E13</f>
        <v/>
      </c>
      <c r="F22" s="11" t="inlineStr">
        <is>
          <t>← ★목적 셀: 2.7×젤리생산 + 3.5×주스생산 → Solver Max</t>
        </is>
      </c>
    </row>
    <row r="24">
      <c r="A24" s="8" t="inlineStr">
        <is>
          <t>수식 참조</t>
        </is>
      </c>
    </row>
    <row r="25">
      <c r="A25" s="12" t="inlineStr">
        <is>
          <t>E12 = SUM(B12:D12)           행합: 젤리 생산량</t>
        </is>
      </c>
    </row>
    <row r="26">
      <c r="A26" s="12" t="inlineStr">
        <is>
          <t>B14 = SUM(B12:B13)           열합: 9등급 사용량</t>
        </is>
      </c>
    </row>
    <row r="27">
      <c r="A27" s="12" t="inlineStr">
        <is>
          <t>B19 = SUMPRODUCT($B$4:$D$4, B12:D12)   투입 등급점수 (품질LHS)</t>
        </is>
      </c>
    </row>
    <row r="28">
      <c r="A28" s="12" t="inlineStr">
        <is>
          <t>D19 = $B$8*E12 = 5*SUM(B12:D12)        기준등급 점수 (품질RHS)</t>
        </is>
      </c>
    </row>
    <row r="29">
      <c r="A29" s="12" t="inlineStr">
        <is>
          <t>B22 = $B$7*E12+$C$7*E13                총 판매이익 (목적 셀)</t>
        </is>
      </c>
    </row>
    <row r="30">
      <c r="A30" s="12" t="inlineStr"/>
    </row>
    <row r="31">
      <c r="A31" s="12" t="inlineStr">
        <is>
          <t>단위에 주의: 백만원 = 천원 × 1000kg</t>
        </is>
      </c>
    </row>
    <row r="33">
      <c r="A33" s="8" t="inlineStr">
        <is>
          <t>Solver 설정</t>
        </is>
      </c>
    </row>
    <row r="34">
      <c r="A34" s="3" t="inlineStr">
        <is>
          <t>목적 셀</t>
        </is>
      </c>
      <c r="B34" s="14" t="inlineStr">
        <is>
          <t>B22</t>
        </is>
      </c>
      <c r="D34" s="5" t="inlineStr">
        <is>
          <t>→ Max</t>
        </is>
      </c>
    </row>
    <row r="35">
      <c r="A35" s="3" t="inlineStr">
        <is>
          <t>변경 셀</t>
        </is>
      </c>
      <c r="B35" s="14" t="inlineStr">
        <is>
          <t>B12:D13 (6개)</t>
        </is>
      </c>
      <c r="D35" s="5" t="inlineStr">
        <is>
          <t>x₁₁~x₂₃</t>
        </is>
      </c>
    </row>
    <row r="36">
      <c r="A36" s="3" t="inlineStr">
        <is>
          <t>제약①</t>
        </is>
      </c>
      <c r="B36" s="14" t="inlineStr">
        <is>
          <t>B14 ≤ B16</t>
        </is>
      </c>
      <c r="D36" s="5" t="inlineStr">
        <is>
          <t>9등급 사용 ≤ 보유(40)</t>
        </is>
      </c>
    </row>
    <row r="37">
      <c r="A37" s="3" t="inlineStr">
        <is>
          <t>제약②</t>
        </is>
      </c>
      <c r="B37" s="14" t="inlineStr">
        <is>
          <t>C14 ≤ C16</t>
        </is>
      </c>
      <c r="D37" s="5" t="inlineStr">
        <is>
          <t>6등급 사용 ≤ 보유(60)</t>
        </is>
      </c>
    </row>
    <row r="38">
      <c r="A38" s="3" t="inlineStr">
        <is>
          <t>제약③</t>
        </is>
      </c>
      <c r="B38" s="14" t="inlineStr">
        <is>
          <t>D14 ≤ D16</t>
        </is>
      </c>
      <c r="D38" s="5" t="inlineStr">
        <is>
          <t>4등급 사용 ≤ 보유(60)</t>
        </is>
      </c>
    </row>
    <row r="39">
      <c r="A39" s="3" t="inlineStr">
        <is>
          <t>제약④</t>
        </is>
      </c>
      <c r="B39" s="14" t="inlineStr">
        <is>
          <t>B19 ≥ D19</t>
        </is>
      </c>
      <c r="D39" s="5" t="inlineStr">
        <is>
          <t>젤리 품질: 등급점수 ≥ 기준점수</t>
        </is>
      </c>
    </row>
    <row r="40">
      <c r="A40" s="3" t="inlineStr">
        <is>
          <t>제약⑤</t>
        </is>
      </c>
      <c r="B40" s="14" t="inlineStr">
        <is>
          <t>B20 ≥ D20</t>
        </is>
      </c>
      <c r="D40" s="5" t="inlineStr">
        <is>
          <t>주스 품질: 등급점수 ≥ 기준점수</t>
        </is>
      </c>
    </row>
    <row r="41">
      <c r="A41" s="3" t="inlineStr">
        <is>
          <t>비음</t>
        </is>
      </c>
      <c r="B41" s="14" t="inlineStr">
        <is>
          <t>B12:D13 ≥ 0</t>
        </is>
      </c>
      <c r="D41" s="5" t="inlineStr">
        <is>
          <t>Solver 옵션 체크</t>
        </is>
      </c>
    </row>
    <row r="42">
      <c r="A42" s="3" t="inlineStr">
        <is>
          <t>해법</t>
        </is>
      </c>
      <c r="B42" s="14" t="inlineStr">
        <is>
          <t>Simplex LP</t>
        </is>
      </c>
      <c r="D4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55" customWidth="1" min="4" max="4"/>
  </cols>
  <sheetData>
    <row r="1">
      <c r="A1" s="18" t="inlineStr">
        <is>
          <t>수식 해설 — W사 혼합 생산 계획</t>
        </is>
      </c>
    </row>
    <row r="3">
      <c r="A3" s="6" t="inlineStr">
        <is>
          <t>셀</t>
        </is>
      </c>
      <c r="B3" s="6" t="inlineStr">
        <is>
          <t>수식</t>
        </is>
      </c>
      <c r="C3" s="6" t="inlineStr">
        <is>
          <t>무엇을 계산하는가</t>
        </is>
      </c>
      <c r="D3" s="6" t="inlineStr">
        <is>
          <t>왜 필요한가 (인과)</t>
        </is>
      </c>
    </row>
    <row r="4">
      <c r="A4" s="19" t="inlineStr">
        <is>
          <t>B4:D4</t>
        </is>
      </c>
      <c r="B4" s="20" t="inlineStr">
        <is>
          <t>9, 6, 4</t>
        </is>
      </c>
      <c r="C4" s="20" t="inlineStr">
        <is>
          <t>포도 등급 벡터</t>
        </is>
      </c>
      <c r="D4" s="20" t="inlineStr">
        <is>
          <t>SUMPRODUCT의 가중치. 품질LHS 계산에 사용</t>
        </is>
      </c>
    </row>
    <row r="5">
      <c r="A5" s="19" t="inlineStr">
        <is>
          <t>B7,C7</t>
        </is>
      </c>
      <c r="B5" s="20" t="inlineStr">
        <is>
          <t>2.7, 3.5</t>
        </is>
      </c>
      <c r="C5" s="20" t="inlineStr">
        <is>
          <t>이익단가 (천원/kg)</t>
        </is>
      </c>
      <c r="D5" s="20" t="inlineStr">
        <is>
          <t>목적계수. 주스가 비싸지만 품질 기준도 높다</t>
        </is>
      </c>
    </row>
    <row r="6">
      <c r="A6" s="19" t="inlineStr">
        <is>
          <t>B8,C8</t>
        </is>
      </c>
      <c r="B6" s="20" t="inlineStr">
        <is>
          <t>5, 7</t>
        </is>
      </c>
      <c r="C6" s="20" t="inlineStr">
        <is>
          <t>요구등급</t>
        </is>
      </c>
      <c r="D6" s="20" t="inlineStr">
        <is>
          <t>품질 기준. 주스(7)가 젤리(5)보다 까다로움</t>
        </is>
      </c>
    </row>
    <row r="7">
      <c r="A7" s="19" t="inlineStr">
        <is>
          <t>B12:D12</t>
        </is>
      </c>
      <c r="B7" s="20" t="inlineStr">
        <is>
          <t>★ 결정변수</t>
        </is>
      </c>
      <c r="C7" s="20" t="inlineStr">
        <is>
          <t>젤리 등급별 투입 x₁₁,x₁₂,x₁₃</t>
        </is>
      </c>
      <c r="D7" s="20" t="inlineStr">
        <is>
          <t>Solver 변경 셀. '어떤 등급을 얼마나 넣을지'</t>
        </is>
      </c>
    </row>
    <row r="8">
      <c r="A8" s="19" t="inlineStr">
        <is>
          <t>B13:D13</t>
        </is>
      </c>
      <c r="B8" s="20" t="inlineStr">
        <is>
          <t>★ 결정변수</t>
        </is>
      </c>
      <c r="C8" s="20" t="inlineStr">
        <is>
          <t>주스 등급별 투입 x₂₁,x₂₂,x₂₃</t>
        </is>
      </c>
      <c r="D8" s="20" t="inlineStr">
        <is>
          <t>Solver 변경 셀</t>
        </is>
      </c>
    </row>
    <row r="9">
      <c r="A9" s="19" t="inlineStr">
        <is>
          <t>E12</t>
        </is>
      </c>
      <c r="B9" s="20">
        <f>SUM(B12:D12)</f>
        <v/>
      </c>
      <c r="C9" s="20" t="inlineStr">
        <is>
          <t>젤리 생산량 (행합)</t>
        </is>
      </c>
      <c r="D9" s="20" t="inlineStr">
        <is>
          <t>투입 총량=생산량. 목적·품질RHS에 사용</t>
        </is>
      </c>
    </row>
    <row r="10">
      <c r="A10" s="19" t="inlineStr">
        <is>
          <t>E13</t>
        </is>
      </c>
      <c r="B10" s="20">
        <f>SUM(B13:D13)</f>
        <v/>
      </c>
      <c r="C10" s="20" t="inlineStr">
        <is>
          <t>주스 생산량 (행합)</t>
        </is>
      </c>
      <c r="D10" s="20" t="inlineStr">
        <is>
          <t>위와 동일</t>
        </is>
      </c>
    </row>
    <row r="11">
      <c r="A11" s="19" t="inlineStr">
        <is>
          <t>B14</t>
        </is>
      </c>
      <c r="B11" s="20">
        <f>SUM(B12:B13)</f>
        <v/>
      </c>
      <c r="C11" s="20" t="inlineStr">
        <is>
          <t>9등급 사용량 (열합)</t>
        </is>
      </c>
      <c r="D11" s="20" t="inlineStr">
        <is>
          <t>자원 제약 LHS</t>
        </is>
      </c>
    </row>
    <row r="12">
      <c r="A12" s="19" t="inlineStr">
        <is>
          <t>C14</t>
        </is>
      </c>
      <c r="B12" s="20">
        <f>SUM(C12:C13)</f>
        <v/>
      </c>
      <c r="C12" s="20" t="inlineStr">
        <is>
          <t>6등급 사용량 (열합)</t>
        </is>
      </c>
      <c r="D12" s="20" t="inlineStr">
        <is>
          <t>자원 제약 LHS</t>
        </is>
      </c>
    </row>
    <row r="13">
      <c r="A13" s="19" t="inlineStr">
        <is>
          <t>D14</t>
        </is>
      </c>
      <c r="B13" s="20">
        <f>SUM(D12:D13)</f>
        <v/>
      </c>
      <c r="C13" s="20" t="inlineStr">
        <is>
          <t>4등급 사용량 (열합)</t>
        </is>
      </c>
      <c r="D13" s="20" t="inlineStr">
        <is>
          <t>자원 제약 LHS</t>
        </is>
      </c>
    </row>
    <row r="14">
      <c r="A14" s="19" t="inlineStr">
        <is>
          <t>B19</t>
        </is>
      </c>
      <c r="B14" s="20">
        <f>SUMPRODUCT($B$4:$D$4,B12:D12)</f>
        <v/>
      </c>
      <c r="C14" s="20" t="inlineStr">
        <is>
          <t>젤리 투입 등급점수 (9x₁₁+6x₁₂+4x₁₃)</t>
        </is>
      </c>
      <c r="D14" s="20" t="inlineStr">
        <is>
          <t>품질 LHS. 분수식의 분자</t>
        </is>
      </c>
    </row>
    <row r="15">
      <c r="A15" s="19" t="inlineStr">
        <is>
          <t>D19</t>
        </is>
      </c>
      <c r="B15" s="20">
        <f>$B$8*E12 즉 5*SUM(B12:D12)</f>
        <v/>
      </c>
      <c r="C15" s="20" t="inlineStr">
        <is>
          <t>젤리 기준등급 점수 (5×생산량)</t>
        </is>
      </c>
      <c r="D15" s="20" t="inlineStr">
        <is>
          <t>품질 RHS. 분모 곱해 선형화</t>
        </is>
      </c>
    </row>
    <row r="16">
      <c r="A16" s="19" t="inlineStr">
        <is>
          <t>B20</t>
        </is>
      </c>
      <c r="B16" s="20">
        <f>SUMPRODUCT($B$4:$D$4,B13:D13)</f>
        <v/>
      </c>
      <c r="C16" s="20" t="inlineStr">
        <is>
          <t>주스 투입 등급점수</t>
        </is>
      </c>
      <c r="D16" s="20" t="inlineStr">
        <is>
          <t>품질 LHS (주스)</t>
        </is>
      </c>
    </row>
    <row r="17">
      <c r="A17" s="19" t="inlineStr">
        <is>
          <t>D20</t>
        </is>
      </c>
      <c r="B17" s="20">
        <f>$C$8*E13 즉 7*SUM(B13:D13)</f>
        <v/>
      </c>
      <c r="C17" s="20" t="inlineStr">
        <is>
          <t>주스 기준등급 점수 (7×생산량)</t>
        </is>
      </c>
      <c r="D17" s="20" t="inlineStr">
        <is>
          <t>품질 RHS (주스)</t>
        </is>
      </c>
    </row>
    <row r="18">
      <c r="A18" s="19" t="inlineStr">
        <is>
          <t>B22</t>
        </is>
      </c>
      <c r="B18" s="20">
        <f>$B$7*E12+$C$7*E13</f>
        <v/>
      </c>
      <c r="C18" s="20" t="inlineStr">
        <is>
          <t>총 판매이익 (백만원)</t>
        </is>
      </c>
      <c r="D18" s="20" t="inlineStr">
        <is>
          <t>★ 목적 셀 → Max</t>
        </is>
      </c>
    </row>
    <row r="21">
      <c r="A21" s="21" t="inlineStr">
        <is>
          <t>수식 연쇄 흐름도</t>
        </is>
      </c>
    </row>
    <row r="22">
      <c r="A22" s="22" t="inlineStr">
        <is>
          <t>결정변수(B12:D13) ─┬─ 행합(E12:E13) ─→ ×이익단가 → 총이익 B22 (목적)</t>
        </is>
      </c>
    </row>
    <row r="23">
      <c r="A23" s="22" t="inlineStr">
        <is>
          <t xml:space="preserve">                    ├─ 열합(B14:D14) ─→ ≤ 보유량(B16:D16)  [자원제약]</t>
        </is>
      </c>
    </row>
    <row r="24">
      <c r="A24" s="22" t="inlineStr">
        <is>
          <t xml:space="preserve">                    ├─ SUMPRODUCT(B19,B20) ─→ ≥ 기준×생산(D19,D20)  [품질제약]</t>
        </is>
      </c>
    </row>
    <row r="25">
      <c r="A25" s="22" t="inlineStr">
        <is>
          <t xml:space="preserve">                    └─ ≥ 0  [비음]</t>
        </is>
      </c>
    </row>
    <row r="28">
      <c r="A28" s="21" t="inlineStr">
        <is>
          <t>품질 제약 선형화 (핵심)</t>
        </is>
      </c>
    </row>
    <row r="29">
      <c r="A29" s="22" t="inlineStr">
        <is>
          <t>【젤리: 평균등급 ≥ 5】</t>
        </is>
      </c>
    </row>
    <row r="30">
      <c r="A30" s="22" t="inlineStr">
        <is>
          <t xml:space="preserve">  원래: (9x₁₁+6x₁₂+4x₁₃)/(x₁₁+x₁₂+x₁₃) ≥ 5  ← 비선형</t>
        </is>
      </c>
    </row>
    <row r="31">
      <c r="A31" s="22" t="inlineStr">
        <is>
          <t xml:space="preserve">  분모 곱: 9x₁₁+6x₁₂+4x₁₃ ≥ 5(x₁₁+x₁₂+x₁₃)  ← 선형!</t>
        </is>
      </c>
    </row>
    <row r="32">
      <c r="A32" s="22" t="inlineStr">
        <is>
          <t xml:space="preserve">  엑셀: B19 ≥ D19  (SUMPRODUCT ≥ 기준×SUM)</t>
        </is>
      </c>
    </row>
    <row r="33">
      <c r="A33" s="22" t="inlineStr">
        <is>
          <t xml:space="preserve">  이항하면: 4x₁₁ + x₁₂ - x₁₃ ≥ 0</t>
        </is>
      </c>
    </row>
    <row r="34">
      <c r="A34" s="22" t="inlineStr"/>
    </row>
    <row r="35">
      <c r="A35" s="22" t="inlineStr">
        <is>
          <t>【주스: 평균등급 ≥ 7】</t>
        </is>
      </c>
    </row>
    <row r="36">
      <c r="A36" s="22" t="inlineStr">
        <is>
          <t xml:space="preserve">  이항하면: 2x₂₁ - x₂₂ - 3x₂₃ ≥ 0</t>
        </is>
      </c>
    </row>
    <row r="37">
      <c r="A37" s="22" t="inlineStr">
        <is>
          <t xml:space="preserve">  9등급(+2)만 양의 계수 → 주스에는 9등급 필수</t>
        </is>
      </c>
    </row>
    <row r="38">
      <c r="A38" s="22" t="inlineStr"/>
    </row>
    <row r="39">
      <c r="A39" s="22" t="inlineStr">
        <is>
          <t>초기해(20,30,15): 젤리 420≥325 OK, 주스 420≥455 NG!</t>
        </is>
      </c>
    </row>
    <row r="40">
      <c r="A40" s="22" t="inlineStr">
        <is>
          <t>→ 초기해는 비실행가능. Solver가 실행가능+최적 해를 찾아줌</t>
        </is>
      </c>
    </row>
  </sheetData>
  <mergeCells count="16">
    <mergeCell ref="A23:D23"/>
    <mergeCell ref="A37:D37"/>
    <mergeCell ref="A40:D40"/>
    <mergeCell ref="A31:D31"/>
    <mergeCell ref="A22:D22"/>
    <mergeCell ref="A34:D34"/>
    <mergeCell ref="A35:D35"/>
    <mergeCell ref="A30:D30"/>
    <mergeCell ref="A38:D38"/>
    <mergeCell ref="A39:D39"/>
    <mergeCell ref="A29:D29"/>
    <mergeCell ref="A25:D25"/>
    <mergeCell ref="A24:D24"/>
    <mergeCell ref="A33:D33"/>
    <mergeCell ref="A32:D3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4" customWidth="1" min="4" max="4"/>
    <col width="55" customWidth="1" min="5" max="5"/>
  </cols>
  <sheetData>
    <row r="1">
      <c r="A1" s="18" t="inlineStr">
        <is>
          <t>제약조건 해설</t>
        </is>
      </c>
    </row>
    <row r="3">
      <c r="A3" s="6" t="inlineStr">
        <is>
          <t>#</t>
        </is>
      </c>
      <c r="B3" s="6" t="inlineStr">
        <is>
          <t>제약 이름</t>
        </is>
      </c>
      <c r="C3" s="6" t="inlineStr">
        <is>
          <t>수식 (대수)</t>
        </is>
      </c>
      <c r="D3" s="6" t="inlineStr">
        <is>
          <t>엑셀 셀</t>
        </is>
      </c>
      <c r="E3" s="6" t="inlineStr">
        <is>
          <t>인과</t>
        </is>
      </c>
    </row>
    <row r="4">
      <c r="A4" s="23" t="inlineStr">
        <is>
          <t>①</t>
        </is>
      </c>
      <c r="B4" s="23" t="inlineStr">
        <is>
          <t>9등급 상한</t>
        </is>
      </c>
      <c r="C4" s="23" t="inlineStr">
        <is>
          <t>x₁₁+x₂₁ ≤ 40</t>
        </is>
      </c>
      <c r="D4" s="23" t="inlineStr">
        <is>
          <t>B14 ≤ B16</t>
        </is>
      </c>
      <c r="E4" s="23" t="inlineStr">
        <is>
          <t>9등급 희소 → 바인딩 가능성 높음</t>
        </is>
      </c>
    </row>
    <row r="5">
      <c r="A5" s="23" t="inlineStr">
        <is>
          <t>②</t>
        </is>
      </c>
      <c r="B5" s="23" t="inlineStr">
        <is>
          <t>6등급 상한</t>
        </is>
      </c>
      <c r="C5" s="23" t="inlineStr">
        <is>
          <t>x₁₂+x₂₂ ≤ 60</t>
        </is>
      </c>
      <c r="D5" s="23" t="inlineStr">
        <is>
          <t>C14 ≤ C16</t>
        </is>
      </c>
      <c r="E5" s="23" t="inlineStr">
        <is>
          <t>보유량 초과 불가</t>
        </is>
      </c>
    </row>
    <row r="6">
      <c r="A6" s="23" t="inlineStr">
        <is>
          <t>③</t>
        </is>
      </c>
      <c r="B6" s="23" t="inlineStr">
        <is>
          <t>4등급 상한</t>
        </is>
      </c>
      <c r="C6" s="23" t="inlineStr">
        <is>
          <t>x₁₃+x₂₃ ≤ 60</t>
        </is>
      </c>
      <c r="D6" s="23" t="inlineStr">
        <is>
          <t>D14 ≤ D16</t>
        </is>
      </c>
      <c r="E6" s="23" t="inlineStr">
        <is>
          <t>품질 끌어내림 → 전량 미사용 가능</t>
        </is>
      </c>
    </row>
    <row r="7">
      <c r="A7" s="24" t="inlineStr">
        <is>
          <t>④</t>
        </is>
      </c>
      <c r="B7" s="24" t="inlineStr">
        <is>
          <t>젤리 품질</t>
        </is>
      </c>
      <c r="C7" s="24" t="inlineStr">
        <is>
          <t>9x₁₁+6x₁₂+4x₁₃ ≥ 5·Σ</t>
        </is>
      </c>
      <c r="D7" s="24" t="inlineStr">
        <is>
          <t>B19 ≥ D19</t>
        </is>
      </c>
      <c r="E7" s="24" t="inlineStr">
        <is>
          <t>가중평균 ≥ 5. 비율→선형 변환</t>
        </is>
      </c>
    </row>
    <row r="8">
      <c r="A8" s="24" t="inlineStr">
        <is>
          <t>⑤</t>
        </is>
      </c>
      <c r="B8" s="24" t="inlineStr">
        <is>
          <t>주스 품질</t>
        </is>
      </c>
      <c r="C8" s="24" t="inlineStr">
        <is>
          <t>9x₂₁+6x₂₂+4x₂₃ ≥ 7·Σ</t>
        </is>
      </c>
      <c r="D8" s="24" t="inlineStr">
        <is>
          <t>B20 ≥ D20</t>
        </is>
      </c>
      <c r="E8" s="24" t="inlineStr">
        <is>
          <t>가중평균 ≥ 7. 9등급 필수</t>
        </is>
      </c>
    </row>
    <row r="9">
      <c r="A9" s="25" t="inlineStr">
        <is>
          <t>⑥</t>
        </is>
      </c>
      <c r="B9" s="25" t="inlineStr">
        <is>
          <t>비음</t>
        </is>
      </c>
      <c r="C9" s="25" t="inlineStr">
        <is>
          <t>x₁₁,...,x₂₃ ≥ 0</t>
        </is>
      </c>
      <c r="D9" s="25" t="inlineStr">
        <is>
          <t>B12:D13 ≥ 0</t>
        </is>
      </c>
      <c r="E9" s="25" t="inlineStr">
        <is>
          <t>음수 투입 불가</t>
        </is>
      </c>
    </row>
    <row r="12">
      <c r="A12" s="21" t="inlineStr">
        <is>
          <t>Solver 설정</t>
        </is>
      </c>
    </row>
    <row r="13">
      <c r="A13" s="6" t="inlineStr">
        <is>
          <t>항목</t>
        </is>
      </c>
      <c r="B13" s="6" t="inlineStr">
        <is>
          <t>설정</t>
        </is>
      </c>
      <c r="C13" s="6" t="inlineStr">
        <is>
          <t>비고</t>
        </is>
      </c>
    </row>
    <row r="14">
      <c r="A14" s="3" t="inlineStr">
        <is>
          <t>목적 셀</t>
        </is>
      </c>
      <c r="B14" s="20" t="inlineStr">
        <is>
          <t>B22</t>
        </is>
      </c>
      <c r="C14" s="20" t="inlineStr">
        <is>
          <t>→ Max (총이익 최대화)</t>
        </is>
      </c>
    </row>
    <row r="15">
      <c r="A15" s="3" t="inlineStr">
        <is>
          <t>변경 셀</t>
        </is>
      </c>
      <c r="B15" s="20" t="inlineStr">
        <is>
          <t>B12:D13 (6개)</t>
        </is>
      </c>
      <c r="C15" s="20" t="inlineStr">
        <is>
          <t>x₁₁~x₂₃</t>
        </is>
      </c>
    </row>
    <row r="16">
      <c r="A16" s="3" t="inlineStr">
        <is>
          <t>제약①~③</t>
        </is>
      </c>
      <c r="B16" s="20" t="inlineStr">
        <is>
          <t>B14:D14 ≤ B16:D16</t>
        </is>
      </c>
      <c r="C16" s="20" t="inlineStr">
        <is>
          <t>자원: 사용량 ≤ 보유량</t>
        </is>
      </c>
    </row>
    <row r="17">
      <c r="A17" s="3" t="inlineStr">
        <is>
          <t>제약④</t>
        </is>
      </c>
      <c r="B17" s="20" t="inlineStr">
        <is>
          <t>B19 ≥ D19</t>
        </is>
      </c>
      <c r="C17" s="20" t="inlineStr">
        <is>
          <t>젤리 품질</t>
        </is>
      </c>
    </row>
    <row r="18">
      <c r="A18" s="3" t="inlineStr">
        <is>
          <t>제약⑤</t>
        </is>
      </c>
      <c r="B18" s="20" t="inlineStr">
        <is>
          <t>B20 ≥ D20</t>
        </is>
      </c>
      <c r="C18" s="20" t="inlineStr">
        <is>
          <t>주스 품질</t>
        </is>
      </c>
    </row>
    <row r="19">
      <c r="A19" s="3" t="inlineStr">
        <is>
          <t>비음</t>
        </is>
      </c>
      <c r="B19" s="20" t="inlineStr">
        <is>
          <t>B12:D13 ≥ 0</t>
        </is>
      </c>
      <c r="C19" s="20" t="inlineStr">
        <is>
          <t>Solver 옵션 체크</t>
        </is>
      </c>
    </row>
    <row r="20">
      <c r="A20" s="3" t="inlineStr">
        <is>
          <t>해법</t>
        </is>
      </c>
      <c r="B20" s="20" t="inlineStr">
        <is>
          <t>Simplex LP</t>
        </is>
      </c>
      <c r="C20" s="20" t="inlineStr">
        <is>
          <t>선형 모형</t>
        </is>
      </c>
    </row>
    <row r="23">
      <c r="A23" s="26" t="inlineStr">
        <is>
          <t>최적해에서 확인할 것</t>
        </is>
      </c>
    </row>
    <row r="24">
      <c r="A24" s="27" t="inlineStr">
        <is>
          <t>1. 9등급(40만kg) 바인딩? → 희소 자원이므로 가능성 높음</t>
        </is>
      </c>
    </row>
    <row r="25">
      <c r="A25" s="27" t="inlineStr">
        <is>
          <t>2. 주스 품질 제약 바인딩? → 기준7로 까다로워 LHS=RHS 가능</t>
        </is>
      </c>
    </row>
    <row r="26">
      <c r="A26" s="27" t="inlineStr">
        <is>
          <t>3. 4등급 포도 남는가? → 품질 끌어내림 → 전량 미사용 가능</t>
        </is>
      </c>
    </row>
    <row r="27">
      <c r="A27" s="27" t="inlineStr">
        <is>
          <t>4. 초기해(20,30,15)는 비실행가능(주스 420&lt;455) → Solver가 수정</t>
        </is>
      </c>
    </row>
  </sheetData>
  <mergeCells count="4">
    <mergeCell ref="A25:E25"/>
    <mergeCell ref="A27:E27"/>
    <mergeCell ref="A26:E26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2026-03-30T07:09:57Z</dcterms:created>
  <dcterms:modified xsi:type="dcterms:W3CDTF">2026-03-30T07:09:57Z</dcterms:modified>
</cp:coreProperties>
</file>