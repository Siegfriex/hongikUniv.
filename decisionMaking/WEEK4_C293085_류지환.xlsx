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sieg\projects-wsl\hongikUniv.-26_1\decisionMaking\"/>
    </mc:Choice>
  </mc:AlternateContent>
  <xr:revisionPtr revIDLastSave="0" documentId="13_ncr:1_{E180871E-7AF4-405B-9524-1FD24898FC20}" xr6:coauthVersionLast="47" xr6:coauthVersionMax="47" xr10:uidLastSave="{00000000-0000-0000-0000-000000000000}"/>
  <bookViews>
    <workbookView xWindow="-96" yWindow="0" windowWidth="15552" windowHeight="18576" activeTab="2" xr2:uid="{6B648091-083D-49AC-B0FC-1ED09B2D30C6}"/>
  </bookViews>
  <sheets>
    <sheet name="Sheet1" sheetId="1" r:id="rId1"/>
    <sheet name="Sheet2" sheetId="2" r:id="rId2"/>
    <sheet name="Sheet3" sheetId="3" r:id="rId3"/>
  </sheets>
  <definedNames>
    <definedName name="solver_adj" localSheetId="0" hidden="1">Sheet1!$B$12:$D$13</definedName>
    <definedName name="solver_adj" localSheetId="1" hidden="1">Sheet2!$B$14:$G$14</definedName>
    <definedName name="solver_adj" localSheetId="2" hidden="1">Sheet3!$B$18:$D$21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lhs1" localSheetId="0" hidden="1">Sheet1!$B$14:$D$14</definedName>
    <definedName name="solver_lhs1" localSheetId="1" hidden="1">Sheet2!$B$14:$G$14</definedName>
    <definedName name="solver_lhs1" localSheetId="2" hidden="1">Sheet3!$B$18:$D$21</definedName>
    <definedName name="solver_lhs2" localSheetId="0" hidden="1">Sheet1!$B$19</definedName>
    <definedName name="solver_lhs2" localSheetId="1" hidden="1">Sheet2!$B$22:$G$22</definedName>
    <definedName name="solver_lhs2" localSheetId="2" hidden="1">Sheet3!$B$23:$D$23</definedName>
    <definedName name="solver_lhs3" localSheetId="0" hidden="1">Sheet1!$B$20</definedName>
    <definedName name="solver_lhs3" localSheetId="1" hidden="1">Sheet2!$B$22:$G$22</definedName>
    <definedName name="solver_lhs3" localSheetId="2" hidden="1">Sheet3!$B$27:$D$27</definedName>
    <definedName name="solver_lhs4" localSheetId="2" hidden="1">Sheet3!$B$33</definedName>
    <definedName name="solver_lhs5" localSheetId="2" hidden="1">Sheet3!$B$34</definedName>
    <definedName name="solver_lhs6" localSheetId="2" hidden="1">Sheet3!$E$18:$E$21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um" localSheetId="0" hidden="1">3</definedName>
    <definedName name="solver_num" localSheetId="1" hidden="1">3</definedName>
    <definedName name="solver_num" localSheetId="2" hidden="1">6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opt" localSheetId="0" hidden="1">Sheet1!$B$22</definedName>
    <definedName name="solver_opt" localSheetId="1" hidden="1">Sheet2!$B$31</definedName>
    <definedName name="solver_opt" localSheetId="2" hidden="1">Sheet3!$B$37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el1" localSheetId="0" hidden="1">1</definedName>
    <definedName name="solver_rel1" localSheetId="1" hidden="1">1</definedName>
    <definedName name="solver_rel1" localSheetId="2" hidden="1">3</definedName>
    <definedName name="solver_rel2" localSheetId="0" hidden="1">3</definedName>
    <definedName name="solver_rel2" localSheetId="1" hidden="1">1</definedName>
    <definedName name="solver_rel2" localSheetId="2" hidden="1">1</definedName>
    <definedName name="solver_rel3" localSheetId="0" hidden="1">3</definedName>
    <definedName name="solver_rel3" localSheetId="1" hidden="1">3</definedName>
    <definedName name="solver_rel3" localSheetId="2" hidden="1">1</definedName>
    <definedName name="solver_rel4" localSheetId="2" hidden="1">2</definedName>
    <definedName name="solver_rel5" localSheetId="2" hidden="1">2</definedName>
    <definedName name="solver_rel6" localSheetId="2" hidden="1">1</definedName>
    <definedName name="solver_rhs1" localSheetId="0" hidden="1">Sheet1!$B$16:$D$16</definedName>
    <definedName name="solver_rhs1" localSheetId="1" hidden="1">Sheet2!$B$16:$G$16</definedName>
    <definedName name="solver_rhs1" localSheetId="2" hidden="1">0</definedName>
    <definedName name="solver_rhs2" localSheetId="0" hidden="1">Sheet1!$D$19</definedName>
    <definedName name="solver_rhs2" localSheetId="1" hidden="1">Sheet2!$B$24:$G$24</definedName>
    <definedName name="solver_rhs2" localSheetId="2" hidden="1">Sheet3!$B$25:$D$25</definedName>
    <definedName name="solver_rhs3" localSheetId="0" hidden="1">Sheet1!$D$20</definedName>
    <definedName name="solver_rhs3" localSheetId="1" hidden="1">Sheet2!$B$20:$G$20</definedName>
    <definedName name="solver_rhs3" localSheetId="2" hidden="1">Sheet3!$B$29:$D$29</definedName>
    <definedName name="solver_rhs4" localSheetId="2" hidden="1">Sheet3!$D$33</definedName>
    <definedName name="solver_rhs5" localSheetId="2" hidden="1">Sheet3!$D$34</definedName>
    <definedName name="solver_rhs6" localSheetId="2" hidden="1">Sheet3!$F$18:$F$21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yp" localSheetId="0" hidden="1">1</definedName>
    <definedName name="solver_typ" localSheetId="1" hidden="1">2</definedName>
    <definedName name="solver_typ" localSheetId="2" hidden="1">1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er" localSheetId="0" hidden="1">3</definedName>
    <definedName name="solver_ver" localSheetId="1" hidden="1">3</definedName>
    <definedName name="solver_ver" localSheetId="2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3" l="1"/>
  <c r="C29" i="3"/>
  <c r="B29" i="3"/>
  <c r="D27" i="3"/>
  <c r="C27" i="3"/>
  <c r="B27" i="3"/>
  <c r="D25" i="3"/>
  <c r="C25" i="3"/>
  <c r="B25" i="3"/>
  <c r="D23" i="3"/>
  <c r="D32" i="3" s="1"/>
  <c r="C23" i="3"/>
  <c r="B23" i="3"/>
  <c r="B33" i="3" s="1"/>
  <c r="F21" i="3"/>
  <c r="E21" i="3"/>
  <c r="F20" i="3"/>
  <c r="E20" i="3"/>
  <c r="F19" i="3"/>
  <c r="E19" i="3"/>
  <c r="F18" i="3"/>
  <c r="E18" i="3"/>
  <c r="E12" i="1"/>
  <c r="B20" i="1"/>
  <c r="B19" i="1"/>
  <c r="D14" i="1"/>
  <c r="C14" i="1"/>
  <c r="B14" i="1"/>
  <c r="E13" i="1"/>
  <c r="D20" i="1" s="1"/>
  <c r="G27" i="2"/>
  <c r="F27" i="2"/>
  <c r="E27" i="2"/>
  <c r="D27" i="2"/>
  <c r="C27" i="2"/>
  <c r="B27" i="2"/>
  <c r="G24" i="2"/>
  <c r="F24" i="2"/>
  <c r="E24" i="2"/>
  <c r="D24" i="2"/>
  <c r="C24" i="2"/>
  <c r="B24" i="2"/>
  <c r="B22" i="2"/>
  <c r="C22" i="2" s="1"/>
  <c r="D22" i="2" s="1"/>
  <c r="E22" i="2" s="1"/>
  <c r="F22" i="2" s="1"/>
  <c r="G22" i="2" s="1"/>
  <c r="G16" i="2"/>
  <c r="F16" i="2"/>
  <c r="E16" i="2"/>
  <c r="D16" i="2"/>
  <c r="C16" i="2"/>
  <c r="B16" i="2"/>
  <c r="G10" i="2"/>
  <c r="G28" i="2" s="1"/>
  <c r="F10" i="2"/>
  <c r="F28" i="2" s="1"/>
  <c r="E10" i="2"/>
  <c r="E28" i="2" s="1"/>
  <c r="D10" i="2"/>
  <c r="D28" i="2" s="1"/>
  <c r="C10" i="2"/>
  <c r="C28" i="2" s="1"/>
  <c r="B10" i="2"/>
  <c r="B34" i="3" l="1"/>
  <c r="B37" i="3"/>
  <c r="B32" i="3"/>
  <c r="C32" i="3"/>
  <c r="B22" i="1"/>
  <c r="D19" i="1"/>
  <c r="B28" i="2"/>
  <c r="B29" i="2" s="1"/>
  <c r="C29" i="2"/>
  <c r="D29" i="2"/>
  <c r="E29" i="2"/>
  <c r="F29" i="2"/>
  <c r="G29" i="2"/>
  <c r="B31" i="2" l="1"/>
</calcChain>
</file>

<file path=xl/sharedStrings.xml><?xml version="1.0" encoding="utf-8"?>
<sst xmlns="http://schemas.openxmlformats.org/spreadsheetml/2006/main" count="130" uniqueCount="83">
  <si>
    <t>축구공 동적 생산-재고 계획</t>
    <phoneticPr fontId="3" type="noConversion"/>
  </si>
  <si>
    <t>월말재고(C22) = 전월말재고(B22) + 당월 생산량(C14) – 당월 수요량(C18)</t>
  </si>
  <si>
    <t>월 최대 생산용량</t>
  </si>
  <si>
    <t>천개</t>
  </si>
  <si>
    <t>월 최대 재고용량</t>
  </si>
  <si>
    <t>1월초 재고 (y₀)</t>
  </si>
  <si>
    <t>재고단가 비율</t>
  </si>
  <si>
    <t>(생산단가의)</t>
  </si>
  <si>
    <t>1월</t>
  </si>
  <si>
    <t>2월</t>
  </si>
  <si>
    <t>3월</t>
  </si>
  <si>
    <t>4월</t>
  </si>
  <si>
    <t>5월</t>
  </si>
  <si>
    <t>6월</t>
  </si>
  <si>
    <t>월 생산단가(천원)</t>
  </si>
  <si>
    <t>월 재고단가(천원)</t>
  </si>
  <si>
    <t>생산계획</t>
  </si>
  <si>
    <t>월생산량(천개)</t>
  </si>
  <si>
    <t>&lt;=</t>
  </si>
  <si>
    <t>생산능력(천개)</t>
  </si>
  <si>
    <t>수요(천개)</t>
  </si>
  <si>
    <t>월말재고(천개)</t>
  </si>
  <si>
    <t>비용계산</t>
  </si>
  <si>
    <t>생산비(백만원)</t>
  </si>
  <si>
    <t>재고유지비(백만원)</t>
  </si>
  <si>
    <t>합계(백만원)</t>
  </si>
  <si>
    <t>총 비용(백만원)</t>
  </si>
  <si>
    <t>입력요소</t>
  </si>
  <si>
    <t>보유 포도등급</t>
  </si>
  <si>
    <t>포도젤리</t>
  </si>
  <si>
    <t>포도주스</t>
  </si>
  <si>
    <t>판매이익(천원)</t>
  </si>
  <si>
    <t>요구등급</t>
  </si>
  <si>
    <t>모형</t>
  </si>
  <si>
    <t>(1000Kgr단위)</t>
  </si>
  <si>
    <t>9등급</t>
  </si>
  <si>
    <t>6등급</t>
  </si>
  <si>
    <t>4등급</t>
  </si>
  <si>
    <t>생산량</t>
  </si>
  <si>
    <t>포도젤리 혼합량</t>
  </si>
  <si>
    <t>포도주스 혼합량</t>
  </si>
  <si>
    <t>등급별 포도사용량</t>
  </si>
  <si>
    <t>등급별 포도보유량</t>
  </si>
  <si>
    <t>투입 등급점수</t>
  </si>
  <si>
    <t>포도젤리 등급제한</t>
  </si>
  <si>
    <t>&gt;=</t>
  </si>
  <si>
    <t>포도주스 등급제한</t>
  </si>
  <si>
    <t>(백만원)</t>
  </si>
  <si>
    <t>총 판매이익</t>
  </si>
  <si>
    <t>혼합생산계획문제</t>
    <phoneticPr fontId="2" type="noConversion"/>
  </si>
  <si>
    <t>기준등급 점수</t>
    <phoneticPr fontId="2" type="noConversion"/>
  </si>
  <si>
    <t>화물 데이터</t>
  </si>
  <si>
    <t>무게(tons)</t>
  </si>
  <si>
    <t>부피(cf/ton)</t>
  </si>
  <si>
    <t>이익($/ton)</t>
  </si>
  <si>
    <t>Cargo A</t>
  </si>
  <si>
    <t>Cargo B</t>
  </si>
  <si>
    <t>Cargo C</t>
  </si>
  <si>
    <t>Cargo D</t>
  </si>
  <si>
    <t>선박 구역</t>
  </si>
  <si>
    <t>최대무게(tons)</t>
  </si>
  <si>
    <t>최대부피(cf)</t>
  </si>
  <si>
    <t>앞(Front)</t>
  </si>
  <si>
    <t>중간(Mid)</t>
  </si>
  <si>
    <t>뒤(Rear)</t>
  </si>
  <si>
    <t>적재 계획</t>
  </si>
  <si>
    <t>앞(F)</t>
  </si>
  <si>
    <t>중간(M)</t>
  </si>
  <si>
    <t>뒤(R)</t>
  </si>
  <si>
    <t>행합</t>
  </si>
  <si>
    <t>가용량</t>
  </si>
  <si>
    <t>구역별 무게합(tons)</t>
  </si>
  <si>
    <t>최대허용무게(tons)</t>
  </si>
  <si>
    <t>구역별 부피합(cf)</t>
  </si>
  <si>
    <t>최대허용부피(cf)</t>
  </si>
  <si>
    <t>밸런스 제약</t>
  </si>
  <si>
    <t>무게/최대무게 비율</t>
  </si>
  <si>
    <t>밸런스 LHS (앞=중)</t>
  </si>
  <si>
    <t>=</t>
  </si>
  <si>
    <t>밸런스 LHS (중=뒤)</t>
  </si>
  <si>
    <t>목적함수</t>
  </si>
  <si>
    <t>총 이익 ($)</t>
  </si>
  <si>
    <t>실습문제3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</si>
</sst>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#,##0.0"/>
    <numFmt numFmtId="178" formatCode="0.0000"/>
  </numFmts>
  <fonts count="13" x14ac:knownFonts="1">
    <font>
      <sz val="11"/>
      <color theme="1"/>
      <name val="맑은 고딕"/>
      <family val="2"/>
      <charset val="129"/>
      <scheme val="minor"/>
    </font>
    <font>
      <b/>
      <sz val="14"/>
      <color rgb="FFFF0000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</font>
    <font>
      <b/>
      <sz val="11"/>
      <name val="맑은 고딕"/>
      <family val="3"/>
      <charset val="129"/>
    </font>
    <font>
      <b/>
      <sz val="12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1"/>
      <color rgb="FF0066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DAEEF3"/>
        <bgColor rgb="FFDAEEF3"/>
      </patternFill>
    </fill>
    <fill>
      <patternFill patternType="solid">
        <fgColor rgb="FFFCE4EC"/>
        <bgColor rgb="FFFCE4EC"/>
      </patternFill>
    </fill>
    <fill>
      <patternFill patternType="solid">
        <fgColor rgb="FFE2EFDA"/>
        <bgColor rgb="FFE2EFDA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 style="medium">
        <color rgb="FF0000FF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double">
        <color rgb="FF0000FF"/>
      </left>
      <right style="double">
        <color rgb="FF0000FF"/>
      </right>
      <top style="double">
        <color rgb="FF0000FF"/>
      </top>
      <bottom style="double">
        <color rgb="FF0000FF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Alignment="1"/>
    <xf numFmtId="0" fontId="0" fillId="0" borderId="0" xfId="0" applyAlignment="1"/>
    <xf numFmtId="0" fontId="4" fillId="2" borderId="0" xfId="0" applyFont="1" applyFill="1" applyAlignment="1">
      <alignment horizontal="center" wrapText="1"/>
    </xf>
    <xf numFmtId="0" fontId="0" fillId="0" borderId="0" xfId="0" applyAlignment="1"/>
    <xf numFmtId="0" fontId="5" fillId="0" borderId="0" xfId="0" applyFont="1" applyAlignment="1"/>
    <xf numFmtId="9" fontId="5" fillId="3" borderId="0" xfId="0" applyNumberFormat="1" applyFont="1" applyFill="1" applyAlignment="1"/>
    <xf numFmtId="0" fontId="5" fillId="4" borderId="0" xfId="0" applyFont="1" applyFill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8" fillId="0" borderId="0" xfId="0" applyFont="1" applyAlignment="1"/>
    <xf numFmtId="0" fontId="0" fillId="6" borderId="3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4" fontId="8" fillId="0" borderId="2" xfId="0" applyNumberFormat="1" applyFont="1" applyBorder="1" applyAlignment="1"/>
    <xf numFmtId="177" fontId="12" fillId="0" borderId="3" xfId="0" applyNumberFormat="1" applyFont="1" applyBorder="1" applyAlignment="1">
      <alignment horizontal="center" vertical="center"/>
    </xf>
    <xf numFmtId="0" fontId="10" fillId="0" borderId="0" xfId="0" applyFont="1" applyAlignment="1"/>
    <xf numFmtId="0" fontId="10" fillId="0" borderId="0" xfId="0" applyFont="1">
      <alignment vertical="center"/>
    </xf>
    <xf numFmtId="0" fontId="5" fillId="0" borderId="0" xfId="0" applyFont="1" applyAlignment="1">
      <alignment horizontal="right"/>
    </xf>
    <xf numFmtId="0" fontId="0" fillId="0" borderId="0" xfId="0" applyAlignment="1">
      <alignment horizontal="right"/>
    </xf>
    <xf numFmtId="0" fontId="6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9" fillId="0" borderId="0" xfId="0" applyFont="1" applyAlignment="1"/>
    <xf numFmtId="3" fontId="0" fillId="0" borderId="1" xfId="0" applyNumberFormat="1" applyBorder="1" applyAlignment="1">
      <alignment horizontal="center" vertical="center"/>
    </xf>
    <xf numFmtId="2" fontId="7" fillId="5" borderId="2" xfId="0" applyNumberFormat="1" applyFont="1" applyFill="1" applyBorder="1" applyAlignment="1">
      <alignment horizontal="center" vertical="center"/>
    </xf>
    <xf numFmtId="2" fontId="0" fillId="6" borderId="3" xfId="0" applyNumberFormat="1" applyFill="1" applyBorder="1" applyAlignment="1">
      <alignment horizontal="center" vertical="center"/>
    </xf>
    <xf numFmtId="3" fontId="0" fillId="6" borderId="3" xfId="0" applyNumberFormat="1" applyFill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0" fontId="11" fillId="0" borderId="0" xfId="0" applyFont="1" applyAlignment="1">
      <alignment horizontal="right"/>
    </xf>
    <xf numFmtId="4" fontId="12" fillId="0" borderId="4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EEE33-7093-4BB7-8E00-E2816120A04A}">
  <dimension ref="A1:E22"/>
  <sheetViews>
    <sheetView workbookViewId="0">
      <selection activeCell="H21" sqref="H21"/>
    </sheetView>
  </sheetViews>
  <sheetFormatPr defaultRowHeight="17.399999999999999" x14ac:dyDescent="0.4"/>
  <cols>
    <col min="1" max="1" width="23.09765625" style="27" customWidth="1"/>
  </cols>
  <sheetData>
    <row r="1" spans="1:5" ht="21" x14ac:dyDescent="0.45">
      <c r="A1" s="1" t="s">
        <v>49</v>
      </c>
      <c r="B1" s="2"/>
      <c r="C1" s="2"/>
      <c r="D1" s="2"/>
      <c r="E1" s="2"/>
    </row>
    <row r="2" spans="1:5" x14ac:dyDescent="0.4">
      <c r="A2" s="26"/>
      <c r="B2" s="2"/>
      <c r="C2" s="2"/>
      <c r="D2" s="2"/>
      <c r="E2" s="2"/>
    </row>
    <row r="3" spans="1:5" x14ac:dyDescent="0.4">
      <c r="A3" s="19" t="s">
        <v>27</v>
      </c>
      <c r="B3" s="2"/>
      <c r="C3" s="2"/>
      <c r="D3" s="2"/>
      <c r="E3" s="2"/>
    </row>
    <row r="4" spans="1:5" x14ac:dyDescent="0.4">
      <c r="A4" s="19" t="s">
        <v>28</v>
      </c>
      <c r="B4" s="12">
        <v>9</v>
      </c>
      <c r="C4" s="12">
        <v>6</v>
      </c>
      <c r="D4" s="12">
        <v>4</v>
      </c>
      <c r="E4" s="2"/>
    </row>
    <row r="5" spans="1:5" x14ac:dyDescent="0.4">
      <c r="A5" s="22"/>
      <c r="B5" s="2"/>
      <c r="C5" s="2"/>
      <c r="D5" s="2"/>
      <c r="E5" s="2"/>
    </row>
    <row r="6" spans="1:5" x14ac:dyDescent="0.4">
      <c r="A6" s="22"/>
      <c r="B6" s="7" t="s">
        <v>29</v>
      </c>
      <c r="C6" s="7" t="s">
        <v>30</v>
      </c>
      <c r="D6" s="2"/>
      <c r="E6" s="2"/>
    </row>
    <row r="7" spans="1:5" x14ac:dyDescent="0.4">
      <c r="A7" s="19" t="s">
        <v>31</v>
      </c>
      <c r="B7" s="15">
        <v>2.7</v>
      </c>
      <c r="C7" s="15">
        <v>3.5</v>
      </c>
      <c r="D7" s="2"/>
      <c r="E7" s="2"/>
    </row>
    <row r="8" spans="1:5" x14ac:dyDescent="0.4">
      <c r="A8" s="19" t="s">
        <v>32</v>
      </c>
      <c r="B8" s="15">
        <v>5</v>
      </c>
      <c r="C8" s="15">
        <v>7</v>
      </c>
      <c r="D8" s="2"/>
      <c r="E8" s="2"/>
    </row>
    <row r="9" spans="1:5" x14ac:dyDescent="0.4">
      <c r="A9" s="22"/>
      <c r="B9" s="2"/>
      <c r="C9" s="2"/>
      <c r="D9" s="2"/>
      <c r="E9" s="2"/>
    </row>
    <row r="10" spans="1:5" ht="19.2" x14ac:dyDescent="0.4">
      <c r="A10" s="18" t="s">
        <v>33</v>
      </c>
      <c r="B10" s="2"/>
      <c r="C10" s="2"/>
      <c r="D10" s="2"/>
      <c r="E10" s="5" t="s">
        <v>34</v>
      </c>
    </row>
    <row r="11" spans="1:5" ht="18" thickBot="1" x14ac:dyDescent="0.45">
      <c r="A11" s="22"/>
      <c r="B11" s="7" t="s">
        <v>35</v>
      </c>
      <c r="C11" s="7" t="s">
        <v>36</v>
      </c>
      <c r="D11" s="7" t="s">
        <v>37</v>
      </c>
      <c r="E11" s="7" t="s">
        <v>38</v>
      </c>
    </row>
    <row r="12" spans="1:5" ht="18" thickBot="1" x14ac:dyDescent="0.45">
      <c r="A12" s="19" t="s">
        <v>39</v>
      </c>
      <c r="B12" s="9">
        <v>0</v>
      </c>
      <c r="C12" s="9">
        <v>40</v>
      </c>
      <c r="D12" s="9">
        <v>40</v>
      </c>
      <c r="E12" s="11">
        <f>SUM(B12:D12)</f>
        <v>80</v>
      </c>
    </row>
    <row r="13" spans="1:5" ht="18" thickBot="1" x14ac:dyDescent="0.45">
      <c r="A13" s="19" t="s">
        <v>40</v>
      </c>
      <c r="B13" s="9">
        <v>40</v>
      </c>
      <c r="C13" s="9">
        <v>20</v>
      </c>
      <c r="D13" s="9">
        <v>20</v>
      </c>
      <c r="E13" s="11">
        <f>SUM(B13:D13)</f>
        <v>80</v>
      </c>
    </row>
    <row r="14" spans="1:5" ht="18" thickBot="1" x14ac:dyDescent="0.45">
      <c r="A14" s="21" t="s">
        <v>41</v>
      </c>
      <c r="B14" s="14">
        <f>SUM(B12:B13)</f>
        <v>40</v>
      </c>
      <c r="C14" s="14">
        <f>SUM(C12:C13)</f>
        <v>60</v>
      </c>
      <c r="D14" s="14">
        <f>SUM(D12:D13)</f>
        <v>60</v>
      </c>
      <c r="E14" s="2"/>
    </row>
    <row r="15" spans="1:5" x14ac:dyDescent="0.4">
      <c r="A15" s="19" t="s">
        <v>34</v>
      </c>
      <c r="B15" s="10" t="s">
        <v>18</v>
      </c>
      <c r="C15" s="10" t="s">
        <v>18</v>
      </c>
      <c r="D15" s="10" t="s">
        <v>18</v>
      </c>
      <c r="E15" s="2"/>
    </row>
    <row r="16" spans="1:5" x14ac:dyDescent="0.4">
      <c r="A16" s="19" t="s">
        <v>42</v>
      </c>
      <c r="B16" s="11">
        <v>40</v>
      </c>
      <c r="C16" s="11">
        <v>60</v>
      </c>
      <c r="D16" s="11">
        <v>60</v>
      </c>
      <c r="E16" s="2"/>
    </row>
    <row r="17" spans="1:5" x14ac:dyDescent="0.4">
      <c r="A17" s="22"/>
      <c r="B17" s="2"/>
      <c r="C17" s="2"/>
      <c r="D17" s="2"/>
      <c r="E17" s="2"/>
    </row>
    <row r="18" spans="1:5" x14ac:dyDescent="0.4">
      <c r="A18" s="22"/>
      <c r="B18" s="7" t="s">
        <v>43</v>
      </c>
      <c r="C18" s="2"/>
      <c r="D18" s="7" t="s">
        <v>50</v>
      </c>
      <c r="E18" s="2"/>
    </row>
    <row r="19" spans="1:5" x14ac:dyDescent="0.4">
      <c r="A19" s="19" t="s">
        <v>44</v>
      </c>
      <c r="B19" s="16">
        <f>SUMPRODUCT($B$4:$D$4,B12:D12)</f>
        <v>400</v>
      </c>
      <c r="C19" s="17" t="s">
        <v>45</v>
      </c>
      <c r="D19" s="16">
        <f>$B$8*E12</f>
        <v>400</v>
      </c>
      <c r="E19" s="2"/>
    </row>
    <row r="20" spans="1:5" x14ac:dyDescent="0.4">
      <c r="A20" s="19" t="s">
        <v>46</v>
      </c>
      <c r="B20" s="16">
        <f>SUMPRODUCT($B$4:$D$4,B13:D13)</f>
        <v>560</v>
      </c>
      <c r="C20" s="17" t="s">
        <v>45</v>
      </c>
      <c r="D20" s="16">
        <f>$C$8*E13</f>
        <v>560</v>
      </c>
      <c r="E20" s="2"/>
    </row>
    <row r="21" spans="1:5" ht="18" thickBot="1" x14ac:dyDescent="0.45">
      <c r="A21" s="22"/>
      <c r="B21" s="5" t="s">
        <v>47</v>
      </c>
      <c r="C21" s="2"/>
      <c r="D21" s="2"/>
      <c r="E21" s="2"/>
    </row>
    <row r="22" spans="1:5" ht="19.8" thickBot="1" x14ac:dyDescent="0.45">
      <c r="A22" s="18" t="s">
        <v>48</v>
      </c>
      <c r="B22" s="25">
        <f>$B$7*E12+$C$7*E13</f>
        <v>496</v>
      </c>
      <c r="C22" s="2"/>
      <c r="D22" s="2"/>
      <c r="E22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43A23-B2E3-4EF2-A145-67F7F9CDE2E0}">
  <dimension ref="A1:G37"/>
  <sheetViews>
    <sheetView workbookViewId="0">
      <selection activeCell="F36" sqref="F36"/>
    </sheetView>
  </sheetViews>
  <sheetFormatPr defaultRowHeight="17.399999999999999" x14ac:dyDescent="0.4"/>
  <cols>
    <col min="1" max="1" width="19.296875" customWidth="1"/>
  </cols>
  <sheetData>
    <row r="1" spans="1:7" ht="21" x14ac:dyDescent="0.45">
      <c r="A1" s="1" t="s">
        <v>0</v>
      </c>
      <c r="B1" s="2"/>
      <c r="C1" s="2"/>
      <c r="D1" s="2"/>
      <c r="E1" s="2"/>
      <c r="F1" s="2"/>
      <c r="G1" s="2"/>
    </row>
    <row r="2" spans="1:7" x14ac:dyDescent="0.4">
      <c r="A2" s="2"/>
      <c r="B2" s="2"/>
      <c r="C2" s="2"/>
      <c r="D2" s="3" t="s">
        <v>1</v>
      </c>
      <c r="E2" s="4"/>
      <c r="F2" s="4"/>
      <c r="G2" s="4"/>
    </row>
    <row r="3" spans="1:7" x14ac:dyDescent="0.4">
      <c r="A3" s="28" t="s">
        <v>2</v>
      </c>
      <c r="B3" s="5">
        <v>30</v>
      </c>
      <c r="C3" s="2" t="s">
        <v>3</v>
      </c>
      <c r="D3" s="2"/>
      <c r="E3" s="2"/>
      <c r="F3" s="2"/>
      <c r="G3" s="2"/>
    </row>
    <row r="4" spans="1:7" x14ac:dyDescent="0.4">
      <c r="A4" s="28" t="s">
        <v>4</v>
      </c>
      <c r="B4" s="5">
        <v>10</v>
      </c>
      <c r="C4" s="2" t="s">
        <v>3</v>
      </c>
      <c r="D4" s="2"/>
      <c r="E4" s="2"/>
      <c r="F4" s="2"/>
      <c r="G4" s="2"/>
    </row>
    <row r="5" spans="1:7" x14ac:dyDescent="0.4">
      <c r="A5" s="28" t="s">
        <v>5</v>
      </c>
      <c r="B5" s="5">
        <v>5</v>
      </c>
      <c r="C5" s="2" t="s">
        <v>3</v>
      </c>
      <c r="D5" s="2"/>
      <c r="E5" s="2"/>
      <c r="F5" s="2"/>
      <c r="G5" s="2"/>
    </row>
    <row r="6" spans="1:7" x14ac:dyDescent="0.4">
      <c r="A6" s="28" t="s">
        <v>6</v>
      </c>
      <c r="B6" s="6">
        <v>0.05</v>
      </c>
      <c r="C6" s="2" t="s">
        <v>7</v>
      </c>
      <c r="D6" s="2"/>
      <c r="E6" s="2"/>
      <c r="F6" s="2"/>
      <c r="G6" s="2"/>
    </row>
    <row r="7" spans="1:7" x14ac:dyDescent="0.4">
      <c r="A7" s="29"/>
      <c r="B7" s="2"/>
      <c r="C7" s="2"/>
      <c r="D7" s="2"/>
      <c r="E7" s="2"/>
      <c r="F7" s="2"/>
      <c r="G7" s="2"/>
    </row>
    <row r="8" spans="1:7" x14ac:dyDescent="0.4">
      <c r="A8" s="29"/>
      <c r="B8" s="7" t="s">
        <v>8</v>
      </c>
      <c r="C8" s="7" t="s">
        <v>9</v>
      </c>
      <c r="D8" s="7" t="s">
        <v>10</v>
      </c>
      <c r="E8" s="7" t="s">
        <v>11</v>
      </c>
      <c r="F8" s="7" t="s">
        <v>12</v>
      </c>
      <c r="G8" s="7" t="s">
        <v>13</v>
      </c>
    </row>
    <row r="9" spans="1:7" x14ac:dyDescent="0.4">
      <c r="A9" s="28" t="s">
        <v>14</v>
      </c>
      <c r="B9" s="8">
        <v>12.5</v>
      </c>
      <c r="C9" s="8">
        <v>12.55</v>
      </c>
      <c r="D9" s="8">
        <v>12.7</v>
      </c>
      <c r="E9" s="8">
        <v>12.8</v>
      </c>
      <c r="F9" s="8">
        <v>12.85</v>
      </c>
      <c r="G9" s="8">
        <v>12.95</v>
      </c>
    </row>
    <row r="10" spans="1:7" x14ac:dyDescent="0.4">
      <c r="A10" s="28" t="s">
        <v>15</v>
      </c>
      <c r="B10" s="8">
        <f t="shared" ref="B10:G10" si="0">B9*$B$6</f>
        <v>0.625</v>
      </c>
      <c r="C10" s="8">
        <f t="shared" si="0"/>
        <v>0.62750000000000006</v>
      </c>
      <c r="D10" s="8">
        <f t="shared" si="0"/>
        <v>0.63500000000000001</v>
      </c>
      <c r="E10" s="8">
        <f t="shared" si="0"/>
        <v>0.64000000000000012</v>
      </c>
      <c r="F10" s="8">
        <f t="shared" si="0"/>
        <v>0.64250000000000007</v>
      </c>
      <c r="G10" s="8">
        <f t="shared" si="0"/>
        <v>0.64749999999999996</v>
      </c>
    </row>
    <row r="11" spans="1:7" x14ac:dyDescent="0.4">
      <c r="A11" s="29"/>
      <c r="B11" s="2"/>
      <c r="C11" s="2"/>
      <c r="D11" s="2"/>
      <c r="E11" s="2"/>
      <c r="F11" s="2"/>
      <c r="G11" s="2"/>
    </row>
    <row r="12" spans="1:7" ht="19.2" x14ac:dyDescent="0.45">
      <c r="A12" s="30" t="s">
        <v>16</v>
      </c>
      <c r="B12" s="2"/>
      <c r="C12" s="2"/>
      <c r="D12" s="2"/>
      <c r="E12" s="2"/>
      <c r="F12" s="2"/>
      <c r="G12" s="2"/>
    </row>
    <row r="13" spans="1:7" ht="18" thickBot="1" x14ac:dyDescent="0.45">
      <c r="A13" s="29"/>
      <c r="B13" s="7" t="s">
        <v>8</v>
      </c>
      <c r="C13" s="7" t="s">
        <v>9</v>
      </c>
      <c r="D13" s="7" t="s">
        <v>10</v>
      </c>
      <c r="E13" s="7" t="s">
        <v>11</v>
      </c>
      <c r="F13" s="7" t="s">
        <v>12</v>
      </c>
      <c r="G13" s="7" t="s">
        <v>13</v>
      </c>
    </row>
    <row r="14" spans="1:7" ht="18" thickBot="1" x14ac:dyDescent="0.45">
      <c r="A14" s="28" t="s">
        <v>17</v>
      </c>
      <c r="B14" s="9">
        <v>5</v>
      </c>
      <c r="C14" s="9">
        <v>20</v>
      </c>
      <c r="D14" s="9">
        <v>30</v>
      </c>
      <c r="E14" s="9">
        <v>30</v>
      </c>
      <c r="F14" s="9">
        <v>25</v>
      </c>
      <c r="G14" s="9">
        <v>10</v>
      </c>
    </row>
    <row r="15" spans="1:7" x14ac:dyDescent="0.4">
      <c r="A15" s="29"/>
      <c r="B15" s="10" t="s">
        <v>18</v>
      </c>
      <c r="C15" s="10" t="s">
        <v>18</v>
      </c>
      <c r="D15" s="10" t="s">
        <v>18</v>
      </c>
      <c r="E15" s="10" t="s">
        <v>18</v>
      </c>
      <c r="F15" s="10" t="s">
        <v>18</v>
      </c>
      <c r="G15" s="10" t="s">
        <v>18</v>
      </c>
    </row>
    <row r="16" spans="1:7" x14ac:dyDescent="0.4">
      <c r="A16" s="28" t="s">
        <v>19</v>
      </c>
      <c r="B16" s="11">
        <f t="shared" ref="B16:G16" si="1">$B$3</f>
        <v>30</v>
      </c>
      <c r="C16" s="11">
        <f t="shared" si="1"/>
        <v>30</v>
      </c>
      <c r="D16" s="11">
        <f t="shared" si="1"/>
        <v>30</v>
      </c>
      <c r="E16" s="11">
        <f t="shared" si="1"/>
        <v>30</v>
      </c>
      <c r="F16" s="11">
        <f t="shared" si="1"/>
        <v>30</v>
      </c>
      <c r="G16" s="11">
        <f t="shared" si="1"/>
        <v>30</v>
      </c>
    </row>
    <row r="17" spans="1:7" x14ac:dyDescent="0.4">
      <c r="A17" s="29"/>
      <c r="B17" s="2"/>
      <c r="C17" s="2"/>
      <c r="D17" s="2"/>
      <c r="E17" s="2"/>
      <c r="F17" s="2"/>
      <c r="G17" s="2"/>
    </row>
    <row r="18" spans="1:7" x14ac:dyDescent="0.4">
      <c r="A18" s="28" t="s">
        <v>20</v>
      </c>
      <c r="B18" s="12">
        <v>10</v>
      </c>
      <c r="C18" s="12">
        <v>15</v>
      </c>
      <c r="D18" s="12">
        <v>30</v>
      </c>
      <c r="E18" s="12">
        <v>35</v>
      </c>
      <c r="F18" s="12">
        <v>25</v>
      </c>
      <c r="G18" s="12">
        <v>10</v>
      </c>
    </row>
    <row r="19" spans="1:7" x14ac:dyDescent="0.4">
      <c r="A19" s="29"/>
      <c r="B19" s="2"/>
      <c r="C19" s="2"/>
      <c r="D19" s="2"/>
      <c r="E19" s="2"/>
      <c r="F19" s="2"/>
      <c r="G19" s="2"/>
    </row>
    <row r="20" spans="1:7" x14ac:dyDescent="0.4">
      <c r="A20" s="29"/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</row>
    <row r="21" spans="1:7" ht="18" thickBot="1" x14ac:dyDescent="0.45">
      <c r="A21" s="29"/>
      <c r="B21" s="10" t="s">
        <v>18</v>
      </c>
      <c r="C21" s="10" t="s">
        <v>18</v>
      </c>
      <c r="D21" s="10" t="s">
        <v>18</v>
      </c>
      <c r="E21" s="10" t="s">
        <v>18</v>
      </c>
      <c r="F21" s="10" t="s">
        <v>18</v>
      </c>
      <c r="G21" s="10" t="s">
        <v>18</v>
      </c>
    </row>
    <row r="22" spans="1:7" ht="18" thickBot="1" x14ac:dyDescent="0.45">
      <c r="A22" s="31" t="s">
        <v>21</v>
      </c>
      <c r="B22" s="14">
        <f>$B$5+B14-B18</f>
        <v>0</v>
      </c>
      <c r="C22" s="14">
        <f>B22+C14-C18</f>
        <v>5</v>
      </c>
      <c r="D22" s="14">
        <f>C22+D14-D18</f>
        <v>5</v>
      </c>
      <c r="E22" s="14">
        <f>D22+E14-E18</f>
        <v>0</v>
      </c>
      <c r="F22" s="14">
        <f>E22+F14-F18</f>
        <v>0</v>
      </c>
      <c r="G22" s="14">
        <f>F22+G14-G18</f>
        <v>0</v>
      </c>
    </row>
    <row r="23" spans="1:7" x14ac:dyDescent="0.4">
      <c r="A23" s="29"/>
      <c r="B23" s="10" t="s">
        <v>18</v>
      </c>
      <c r="C23" s="10" t="s">
        <v>18</v>
      </c>
      <c r="D23" s="10" t="s">
        <v>18</v>
      </c>
      <c r="E23" s="10" t="s">
        <v>18</v>
      </c>
      <c r="F23" s="10" t="s">
        <v>18</v>
      </c>
      <c r="G23" s="10" t="s">
        <v>18</v>
      </c>
    </row>
    <row r="24" spans="1:7" x14ac:dyDescent="0.4">
      <c r="A24" s="29"/>
      <c r="B24" s="11">
        <f t="shared" ref="B24:G24" si="2">$B$4</f>
        <v>10</v>
      </c>
      <c r="C24" s="11">
        <f t="shared" si="2"/>
        <v>10</v>
      </c>
      <c r="D24" s="11">
        <f t="shared" si="2"/>
        <v>10</v>
      </c>
      <c r="E24" s="11">
        <f t="shared" si="2"/>
        <v>10</v>
      </c>
      <c r="F24" s="11">
        <f t="shared" si="2"/>
        <v>10</v>
      </c>
      <c r="G24" s="11">
        <f t="shared" si="2"/>
        <v>10</v>
      </c>
    </row>
    <row r="25" spans="1:7" ht="19.2" x14ac:dyDescent="0.45">
      <c r="A25" s="30" t="s">
        <v>22</v>
      </c>
      <c r="B25" s="2"/>
      <c r="C25" s="2"/>
      <c r="D25" s="2"/>
      <c r="E25" s="2"/>
      <c r="F25" s="2"/>
      <c r="G25" s="2"/>
    </row>
    <row r="26" spans="1:7" x14ac:dyDescent="0.4">
      <c r="A26" s="29"/>
      <c r="B26" s="7" t="s">
        <v>8</v>
      </c>
      <c r="C26" s="7" t="s">
        <v>9</v>
      </c>
      <c r="D26" s="7" t="s">
        <v>10</v>
      </c>
      <c r="E26" s="7" t="s">
        <v>11</v>
      </c>
      <c r="F26" s="7" t="s">
        <v>12</v>
      </c>
      <c r="G26" s="7" t="s">
        <v>13</v>
      </c>
    </row>
    <row r="27" spans="1:7" x14ac:dyDescent="0.4">
      <c r="A27" s="28" t="s">
        <v>23</v>
      </c>
      <c r="B27" s="8">
        <f t="shared" ref="B27:G27" si="3">B9*B14</f>
        <v>62.5</v>
      </c>
      <c r="C27" s="8">
        <f t="shared" si="3"/>
        <v>251</v>
      </c>
      <c r="D27" s="8">
        <f t="shared" si="3"/>
        <v>381</v>
      </c>
      <c r="E27" s="8">
        <f t="shared" si="3"/>
        <v>384</v>
      </c>
      <c r="F27" s="8">
        <f t="shared" si="3"/>
        <v>321.25</v>
      </c>
      <c r="G27" s="8">
        <f t="shared" si="3"/>
        <v>129.5</v>
      </c>
    </row>
    <row r="28" spans="1:7" x14ac:dyDescent="0.4">
      <c r="A28" s="28" t="s">
        <v>24</v>
      </c>
      <c r="B28" s="8">
        <f t="shared" ref="B28:G28" si="4">B10*B22</f>
        <v>0</v>
      </c>
      <c r="C28" s="8">
        <f t="shared" si="4"/>
        <v>3.1375000000000002</v>
      </c>
      <c r="D28" s="8">
        <f t="shared" si="4"/>
        <v>3.1749999999999998</v>
      </c>
      <c r="E28" s="8">
        <f t="shared" si="4"/>
        <v>0</v>
      </c>
      <c r="F28" s="8">
        <f t="shared" si="4"/>
        <v>0</v>
      </c>
      <c r="G28" s="8">
        <f t="shared" si="4"/>
        <v>0</v>
      </c>
    </row>
    <row r="29" spans="1:7" x14ac:dyDescent="0.4">
      <c r="A29" s="28" t="s">
        <v>25</v>
      </c>
      <c r="B29" s="8">
        <f t="shared" ref="B29:G29" si="5">B27+B28</f>
        <v>62.5</v>
      </c>
      <c r="C29" s="8">
        <f t="shared" si="5"/>
        <v>254.13749999999999</v>
      </c>
      <c r="D29" s="8">
        <f t="shared" si="5"/>
        <v>384.17500000000001</v>
      </c>
      <c r="E29" s="8">
        <f t="shared" si="5"/>
        <v>384</v>
      </c>
      <c r="F29" s="8">
        <f t="shared" si="5"/>
        <v>321.25</v>
      </c>
      <c r="G29" s="8">
        <f t="shared" si="5"/>
        <v>129.5</v>
      </c>
    </row>
    <row r="30" spans="1:7" ht="18" thickBot="1" x14ac:dyDescent="0.45">
      <c r="A30" s="29"/>
      <c r="B30" s="2"/>
      <c r="C30" s="13"/>
      <c r="D30" s="2"/>
      <c r="E30" s="2"/>
      <c r="F30" s="2"/>
      <c r="G30" s="2"/>
    </row>
    <row r="31" spans="1:7" ht="18" thickBot="1" x14ac:dyDescent="0.45">
      <c r="A31" s="28" t="s">
        <v>26</v>
      </c>
      <c r="B31" s="24">
        <f>SUM(B29:G29)</f>
        <v>1535.5625</v>
      </c>
      <c r="C31" s="13"/>
      <c r="D31" s="2"/>
      <c r="E31" s="2"/>
      <c r="F31" s="2"/>
      <c r="G31" s="2"/>
    </row>
    <row r="32" spans="1:7" x14ac:dyDescent="0.4">
      <c r="A32" s="20"/>
    </row>
    <row r="33" spans="1:1" x14ac:dyDescent="0.4">
      <c r="A33" s="20"/>
    </row>
    <row r="34" spans="1:1" x14ac:dyDescent="0.4">
      <c r="A34" s="20"/>
    </row>
    <row r="35" spans="1:1" x14ac:dyDescent="0.4">
      <c r="A35" s="20"/>
    </row>
    <row r="36" spans="1:1" x14ac:dyDescent="0.4">
      <c r="A36" s="20"/>
    </row>
    <row r="37" spans="1:1" x14ac:dyDescent="0.4">
      <c r="A37" s="20"/>
    </row>
  </sheetData>
  <mergeCells count="1">
    <mergeCell ref="D2:G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6D84A-C9AE-422D-8731-98C4A84D5D27}">
  <dimension ref="A1:F38"/>
  <sheetViews>
    <sheetView tabSelected="1" workbookViewId="0">
      <selection activeCell="D35" sqref="D35"/>
    </sheetView>
  </sheetViews>
  <sheetFormatPr defaultRowHeight="17.399999999999999" x14ac:dyDescent="0.4"/>
  <cols>
    <col min="1" max="1" width="20" style="23" customWidth="1"/>
    <col min="2" max="2" width="14.296875" customWidth="1"/>
    <col min="3" max="3" width="15.19921875" customWidth="1"/>
    <col min="4" max="4" width="14.19921875" customWidth="1"/>
  </cols>
  <sheetData>
    <row r="1" spans="1:6" x14ac:dyDescent="0.4">
      <c r="A1" s="31" t="s">
        <v>82</v>
      </c>
      <c r="B1" s="2"/>
      <c r="C1" s="2"/>
      <c r="D1" s="2"/>
      <c r="E1" s="2"/>
      <c r="F1" s="2"/>
    </row>
    <row r="2" spans="1:6" x14ac:dyDescent="0.4">
      <c r="A2" s="39"/>
      <c r="B2" s="2"/>
      <c r="C2" s="2"/>
      <c r="D2" s="2"/>
      <c r="E2" s="2"/>
      <c r="F2" s="2"/>
    </row>
    <row r="3" spans="1:6" x14ac:dyDescent="0.4">
      <c r="A3" s="28" t="s">
        <v>51</v>
      </c>
      <c r="B3" s="2"/>
      <c r="C3" s="2"/>
      <c r="D3" s="2"/>
      <c r="E3" s="2"/>
      <c r="F3" s="2"/>
    </row>
    <row r="4" spans="1:6" x14ac:dyDescent="0.4">
      <c r="A4" s="39"/>
      <c r="B4" s="7" t="s">
        <v>52</v>
      </c>
      <c r="C4" s="7" t="s">
        <v>53</v>
      </c>
      <c r="D4" s="7" t="s">
        <v>54</v>
      </c>
      <c r="E4" s="2"/>
      <c r="F4" s="2"/>
    </row>
    <row r="5" spans="1:6" x14ac:dyDescent="0.4">
      <c r="A5" s="28" t="s">
        <v>55</v>
      </c>
      <c r="B5" s="11">
        <v>20</v>
      </c>
      <c r="C5" s="11">
        <v>500</v>
      </c>
      <c r="D5" s="11">
        <v>320</v>
      </c>
      <c r="E5" s="32"/>
      <c r="F5" s="2"/>
    </row>
    <row r="6" spans="1:6" x14ac:dyDescent="0.4">
      <c r="A6" s="28" t="s">
        <v>56</v>
      </c>
      <c r="B6" s="11">
        <v>16</v>
      </c>
      <c r="C6" s="11">
        <v>700</v>
      </c>
      <c r="D6" s="11">
        <v>400</v>
      </c>
      <c r="E6" s="32"/>
      <c r="F6" s="2"/>
    </row>
    <row r="7" spans="1:6" x14ac:dyDescent="0.4">
      <c r="A7" s="28" t="s">
        <v>57</v>
      </c>
      <c r="B7" s="11">
        <v>25</v>
      </c>
      <c r="C7" s="11">
        <v>600</v>
      </c>
      <c r="D7" s="11">
        <v>360</v>
      </c>
      <c r="E7" s="32"/>
      <c r="F7" s="2"/>
    </row>
    <row r="8" spans="1:6" x14ac:dyDescent="0.4">
      <c r="A8" s="28" t="s">
        <v>58</v>
      </c>
      <c r="B8" s="11">
        <v>13</v>
      </c>
      <c r="C8" s="11">
        <v>400</v>
      </c>
      <c r="D8" s="11">
        <v>290</v>
      </c>
      <c r="E8" s="2"/>
      <c r="F8" s="2"/>
    </row>
    <row r="9" spans="1:6" x14ac:dyDescent="0.4">
      <c r="A9" s="39"/>
      <c r="B9" s="2"/>
      <c r="C9" s="2"/>
      <c r="D9" s="2"/>
      <c r="E9" s="2"/>
      <c r="F9" s="2"/>
    </row>
    <row r="10" spans="1:6" x14ac:dyDescent="0.4">
      <c r="A10" s="28" t="s">
        <v>59</v>
      </c>
      <c r="B10" s="2"/>
      <c r="C10" s="2"/>
      <c r="D10" s="2"/>
      <c r="E10" s="2"/>
      <c r="F10" s="2"/>
    </row>
    <row r="11" spans="1:6" x14ac:dyDescent="0.4">
      <c r="A11" s="39"/>
      <c r="B11" s="7" t="s">
        <v>60</v>
      </c>
      <c r="C11" s="7" t="s">
        <v>61</v>
      </c>
      <c r="D11" s="2"/>
      <c r="E11" s="2"/>
      <c r="F11" s="2"/>
    </row>
    <row r="12" spans="1:6" x14ac:dyDescent="0.4">
      <c r="A12" s="28" t="s">
        <v>62</v>
      </c>
      <c r="B12" s="11">
        <v>12</v>
      </c>
      <c r="C12" s="33">
        <v>7000</v>
      </c>
      <c r="D12" s="2"/>
      <c r="E12" s="2"/>
      <c r="F12" s="2"/>
    </row>
    <row r="13" spans="1:6" x14ac:dyDescent="0.4">
      <c r="A13" s="28" t="s">
        <v>63</v>
      </c>
      <c r="B13" s="11">
        <v>18</v>
      </c>
      <c r="C13" s="33">
        <v>9000</v>
      </c>
      <c r="D13" s="2"/>
      <c r="E13" s="2"/>
      <c r="F13" s="2"/>
    </row>
    <row r="14" spans="1:6" x14ac:dyDescent="0.4">
      <c r="A14" s="28" t="s">
        <v>64</v>
      </c>
      <c r="B14" s="11">
        <v>10</v>
      </c>
      <c r="C14" s="33">
        <v>5000</v>
      </c>
      <c r="D14" s="2"/>
      <c r="E14" s="2"/>
      <c r="F14" s="2"/>
    </row>
    <row r="15" spans="1:6" x14ac:dyDescent="0.4">
      <c r="A15" s="39"/>
      <c r="B15" s="2"/>
      <c r="C15" s="2"/>
      <c r="D15" s="2"/>
      <c r="E15" s="2"/>
      <c r="F15" s="2"/>
    </row>
    <row r="16" spans="1:6" x14ac:dyDescent="0.4">
      <c r="A16" s="28" t="s">
        <v>65</v>
      </c>
      <c r="B16" s="2"/>
      <c r="C16" s="2"/>
      <c r="D16" s="2"/>
      <c r="E16" s="2"/>
      <c r="F16" s="2"/>
    </row>
    <row r="17" spans="1:6" ht="18" thickBot="1" x14ac:dyDescent="0.45">
      <c r="A17" s="39"/>
      <c r="B17" s="7" t="s">
        <v>66</v>
      </c>
      <c r="C17" s="7" t="s">
        <v>67</v>
      </c>
      <c r="D17" s="7" t="s">
        <v>68</v>
      </c>
      <c r="E17" s="7" t="s">
        <v>69</v>
      </c>
      <c r="F17" s="7" t="s">
        <v>70</v>
      </c>
    </row>
    <row r="18" spans="1:6" ht="18" thickBot="1" x14ac:dyDescent="0.45">
      <c r="A18" s="28" t="s">
        <v>55</v>
      </c>
      <c r="B18" s="34">
        <v>0</v>
      </c>
      <c r="C18" s="34">
        <v>15.499999999999988</v>
      </c>
      <c r="D18" s="34">
        <v>0</v>
      </c>
      <c r="E18" s="8">
        <f>SUM(B18:D18)</f>
        <v>15.499999999999988</v>
      </c>
      <c r="F18" s="11">
        <f>$B$5</f>
        <v>20</v>
      </c>
    </row>
    <row r="19" spans="1:6" ht="18" thickBot="1" x14ac:dyDescent="0.45">
      <c r="A19" s="28" t="s">
        <v>56</v>
      </c>
      <c r="B19" s="34">
        <v>7.3333333333333339</v>
      </c>
      <c r="C19" s="34">
        <v>0.83333333333334036</v>
      </c>
      <c r="D19" s="34">
        <v>3.3333333333333357</v>
      </c>
      <c r="E19" s="8">
        <f>SUM(B19:D19)</f>
        <v>11.500000000000011</v>
      </c>
      <c r="F19" s="11">
        <f>$B$6</f>
        <v>16</v>
      </c>
    </row>
    <row r="20" spans="1:6" ht="18" thickBot="1" x14ac:dyDescent="0.45">
      <c r="A20" s="28" t="s">
        <v>57</v>
      </c>
      <c r="B20" s="34">
        <v>0</v>
      </c>
      <c r="C20" s="34">
        <v>0</v>
      </c>
      <c r="D20" s="34">
        <v>0</v>
      </c>
      <c r="E20" s="8">
        <f>SUM(B20:D20)</f>
        <v>0</v>
      </c>
      <c r="F20" s="11">
        <f>$B$7</f>
        <v>25</v>
      </c>
    </row>
    <row r="21" spans="1:6" ht="18" thickBot="1" x14ac:dyDescent="0.45">
      <c r="A21" s="28" t="s">
        <v>58</v>
      </c>
      <c r="B21" s="34">
        <v>4.6666666666666643</v>
      </c>
      <c r="C21" s="34">
        <v>1.6666666666666705</v>
      </c>
      <c r="D21" s="34">
        <v>6.6666666666666643</v>
      </c>
      <c r="E21" s="8">
        <f>SUM(B21:D21)</f>
        <v>13</v>
      </c>
      <c r="F21" s="11">
        <f>$B$8</f>
        <v>13</v>
      </c>
    </row>
    <row r="22" spans="1:6" ht="18" thickBot="1" x14ac:dyDescent="0.45">
      <c r="A22" s="39"/>
      <c r="B22" s="2"/>
      <c r="C22" s="2"/>
      <c r="D22" s="2"/>
      <c r="E22" s="2"/>
      <c r="F22" s="2"/>
    </row>
    <row r="23" spans="1:6" ht="18" thickBot="1" x14ac:dyDescent="0.45">
      <c r="A23" s="31" t="s">
        <v>71</v>
      </c>
      <c r="B23" s="35">
        <f>SUM(B18:B21)</f>
        <v>11.999999999999998</v>
      </c>
      <c r="C23" s="35">
        <f>SUM(C18:C21)</f>
        <v>18</v>
      </c>
      <c r="D23" s="35">
        <f>SUM(D18:D21)</f>
        <v>10</v>
      </c>
      <c r="E23" s="2"/>
      <c r="F23" s="2"/>
    </row>
    <row r="24" spans="1:6" x14ac:dyDescent="0.4">
      <c r="A24" s="39"/>
      <c r="B24" s="10" t="s">
        <v>18</v>
      </c>
      <c r="C24" s="10" t="s">
        <v>18</v>
      </c>
      <c r="D24" s="10" t="s">
        <v>18</v>
      </c>
      <c r="E24" s="2"/>
      <c r="F24" s="2"/>
    </row>
    <row r="25" spans="1:6" x14ac:dyDescent="0.4">
      <c r="A25" s="28" t="s">
        <v>72</v>
      </c>
      <c r="B25" s="11">
        <f>$B$12</f>
        <v>12</v>
      </c>
      <c r="C25" s="11">
        <f>$B$13</f>
        <v>18</v>
      </c>
      <c r="D25" s="11">
        <f>$B$14</f>
        <v>10</v>
      </c>
      <c r="E25" s="2"/>
      <c r="F25" s="2"/>
    </row>
    <row r="26" spans="1:6" ht="18" thickBot="1" x14ac:dyDescent="0.45">
      <c r="A26" s="39"/>
      <c r="B26" s="2"/>
      <c r="C26" s="2"/>
      <c r="D26" s="2"/>
      <c r="E26" s="2"/>
      <c r="F26" s="2"/>
    </row>
    <row r="27" spans="1:6" ht="18" thickBot="1" x14ac:dyDescent="0.45">
      <c r="A27" s="31" t="s">
        <v>73</v>
      </c>
      <c r="B27" s="36">
        <f>SUMPRODUCT($C$5:$C$8,B18:B21)</f>
        <v>7000</v>
      </c>
      <c r="C27" s="36">
        <f>SUMPRODUCT($C$5:$C$8,C18:C21)</f>
        <v>9000</v>
      </c>
      <c r="D27" s="36">
        <f>SUMPRODUCT($C$5:$C$8,D18:D21)</f>
        <v>5000</v>
      </c>
      <c r="E27" s="2"/>
      <c r="F27" s="2"/>
    </row>
    <row r="28" spans="1:6" x14ac:dyDescent="0.4">
      <c r="A28" s="39"/>
      <c r="B28" s="10" t="s">
        <v>18</v>
      </c>
      <c r="C28" s="10" t="s">
        <v>18</v>
      </c>
      <c r="D28" s="10" t="s">
        <v>18</v>
      </c>
      <c r="E28" s="2"/>
      <c r="F28" s="2"/>
    </row>
    <row r="29" spans="1:6" x14ac:dyDescent="0.4">
      <c r="A29" s="28" t="s">
        <v>74</v>
      </c>
      <c r="B29" s="33">
        <f>$C$12</f>
        <v>7000</v>
      </c>
      <c r="C29" s="33">
        <f>$C$13</f>
        <v>9000</v>
      </c>
      <c r="D29" s="33">
        <f>$C$14</f>
        <v>5000</v>
      </c>
      <c r="E29" s="2"/>
      <c r="F29" s="2"/>
    </row>
    <row r="30" spans="1:6" x14ac:dyDescent="0.4">
      <c r="A30" s="39"/>
      <c r="B30" s="2"/>
      <c r="C30" s="2"/>
      <c r="D30" s="2"/>
      <c r="E30" s="2"/>
      <c r="F30" s="2"/>
    </row>
    <row r="31" spans="1:6" x14ac:dyDescent="0.4">
      <c r="A31" s="28" t="s">
        <v>75</v>
      </c>
      <c r="B31" s="2"/>
      <c r="C31" s="2"/>
      <c r="D31" s="2"/>
      <c r="E31" s="2"/>
      <c r="F31" s="2"/>
    </row>
    <row r="32" spans="1:6" x14ac:dyDescent="0.4">
      <c r="A32" s="28" t="s">
        <v>76</v>
      </c>
      <c r="B32" s="37">
        <f>B23/B25</f>
        <v>0.99999999999999989</v>
      </c>
      <c r="C32" s="37">
        <f>C23/C25</f>
        <v>1</v>
      </c>
      <c r="D32" s="37">
        <f>D23/D25</f>
        <v>1</v>
      </c>
      <c r="E32" s="2"/>
      <c r="F32" s="2"/>
    </row>
    <row r="33" spans="1:6" x14ac:dyDescent="0.4">
      <c r="A33" s="28" t="s">
        <v>77</v>
      </c>
      <c r="B33" s="38">
        <f>3*B23-2*C23</f>
        <v>0</v>
      </c>
      <c r="C33" s="17" t="s">
        <v>78</v>
      </c>
      <c r="D33" s="11">
        <v>0</v>
      </c>
      <c r="E33" s="2"/>
      <c r="F33" s="2"/>
    </row>
    <row r="34" spans="1:6" x14ac:dyDescent="0.4">
      <c r="A34" s="28" t="s">
        <v>79</v>
      </c>
      <c r="B34" s="38">
        <f>5*C23-9*D23</f>
        <v>0</v>
      </c>
      <c r="C34" s="17" t="s">
        <v>78</v>
      </c>
      <c r="D34" s="11">
        <v>0</v>
      </c>
      <c r="E34" s="2"/>
      <c r="F34" s="2"/>
    </row>
    <row r="35" spans="1:6" x14ac:dyDescent="0.4">
      <c r="A35" s="39"/>
      <c r="B35" s="2"/>
      <c r="C35" s="2"/>
      <c r="D35" s="2"/>
      <c r="E35" s="2"/>
      <c r="F35" s="2"/>
    </row>
    <row r="36" spans="1:6" ht="18" thickBot="1" x14ac:dyDescent="0.45">
      <c r="A36" s="28" t="s">
        <v>80</v>
      </c>
      <c r="B36" s="2"/>
      <c r="C36" s="2"/>
      <c r="D36" s="2"/>
      <c r="E36" s="2"/>
      <c r="F36" s="2"/>
    </row>
    <row r="37" spans="1:6" ht="20.399999999999999" thickTop="1" thickBot="1" x14ac:dyDescent="0.45">
      <c r="A37" s="28" t="s">
        <v>81</v>
      </c>
      <c r="B37" s="40">
        <f>SUMPRODUCT($D$5:$D$8,E18:E21)</f>
        <v>13330</v>
      </c>
      <c r="C37" s="2"/>
      <c r="D37" s="2"/>
      <c r="E37" s="2"/>
      <c r="F37" s="2"/>
    </row>
    <row r="38" spans="1:6" ht="18" thickTop="1" x14ac:dyDescent="0.4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Jihwan Ryu</dc:creator>
  <cp:lastModifiedBy>Jihwan Ryu</cp:lastModifiedBy>
  <dcterms:created xsi:type="dcterms:W3CDTF">2026-03-30T06:54:36Z</dcterms:created>
  <dcterms:modified xsi:type="dcterms:W3CDTF">2026-03-30T07:46:38Z</dcterms:modified>
</cp:coreProperties>
</file>