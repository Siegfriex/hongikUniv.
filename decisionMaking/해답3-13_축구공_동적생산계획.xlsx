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형" sheetId="1" state="visible" r:id="rId1"/>
    <sheet name="수식해설" sheetId="2" state="visible" r:id="rId2"/>
    <sheet name="제약조건" sheetId="3" state="visible" r:id="rId3"/>
    <sheet name="단위해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color rgb="00FF0000"/>
      <sz val="9"/>
    </font>
    <font>
      <b val="1"/>
    </font>
    <font>
      <b val="1"/>
      <color rgb="00006600"/>
    </font>
    <font>
      <b val="1"/>
      <color rgb="00660099"/>
    </font>
    <font>
      <b val="1"/>
      <sz val="12"/>
    </font>
    <font>
      <b val="1"/>
      <color rgb="00333399"/>
      <sz val="11"/>
    </font>
    <font>
      <b val="1"/>
      <color rgb="000000FF"/>
    </font>
    <font>
      <b val="1"/>
      <color rgb="00FF0000"/>
    </font>
    <font>
      <b val="1"/>
      <sz val="11"/>
    </font>
    <font>
      <b val="1"/>
      <color rgb="00333399"/>
      <sz val="14"/>
    </font>
    <font>
      <b val="1"/>
      <color rgb="00333399"/>
      <sz val="12"/>
    </font>
    <font>
      <name val="Consolas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AEEF3"/>
        <bgColor rgb="00DAEEF3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E8DAEF"/>
        <bgColor rgb="00E8DA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FF"/>
      </left>
      <right style="medium">
        <color rgb="000000FF"/>
      </right>
      <top style="medium">
        <color rgb="000000FF"/>
      </top>
      <bottom style="medium">
        <color rgb="000000FF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9" fontId="3" fillId="3" borderId="0" pivotButton="0" quotePrefix="0" xfId="0"/>
    <xf numFmtId="0" fontId="3" fillId="4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6" borderId="3" applyAlignment="1" pivotButton="0" quotePrefix="0" xfId="0">
      <alignment horizontal="center" vertical="center"/>
    </xf>
    <xf numFmtId="0" fontId="10" fillId="0" borderId="0" pivotButton="0" quotePrefix="0" xfId="0"/>
    <xf numFmtId="4" fontId="10" fillId="0" borderId="2" pivotButton="0" quotePrefix="0" xfId="0"/>
    <xf numFmtId="0" fontId="11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45" customWidth="1" min="9" max="9"/>
  </cols>
  <sheetData>
    <row r="1">
      <c r="A1" s="1" t="inlineStr">
        <is>
          <t>해답 3-13  축구공 동적 생산-재고 계획</t>
        </is>
      </c>
    </row>
    <row r="2">
      <c r="D2" s="2" t="inlineStr">
        <is>
          <t>월말재고(C22) = 전월말재고(B22) + 당월 생산량(C14) – 당월 수요량(C18)</t>
        </is>
      </c>
    </row>
    <row r="3">
      <c r="A3" s="3" t="inlineStr">
        <is>
          <t>월 최대 생산용량</t>
        </is>
      </c>
      <c r="B3" s="3" t="n">
        <v>30</v>
      </c>
      <c r="C3" t="inlineStr">
        <is>
          <t>천개</t>
        </is>
      </c>
      <c r="I3" s="4" t="inlineStr">
        <is>
          <t>← 제약: x_t ≤ 30 (생산 상한)</t>
        </is>
      </c>
    </row>
    <row r="4">
      <c r="A4" s="3" t="inlineStr">
        <is>
          <t>월 최대 재고용량</t>
        </is>
      </c>
      <c r="B4" s="3" t="n">
        <v>10</v>
      </c>
      <c r="C4" t="inlineStr">
        <is>
          <t>천개</t>
        </is>
      </c>
      <c r="I4" s="4" t="inlineStr">
        <is>
          <t>← 제약: y_t ≤ 10 (재고 상한)</t>
        </is>
      </c>
    </row>
    <row r="5">
      <c r="A5" s="3" t="inlineStr">
        <is>
          <t>1월초 재고 (y₀)</t>
        </is>
      </c>
      <c r="B5" s="3" t="n">
        <v>5</v>
      </c>
      <c r="C5" t="inlineStr">
        <is>
          <t>천개</t>
        </is>
      </c>
      <c r="I5" s="4" t="inlineStr">
        <is>
          <t>← 초기조건: Balance Eq.의 시작점</t>
        </is>
      </c>
    </row>
    <row r="6">
      <c r="A6" s="3" t="inlineStr">
        <is>
          <t>재고단가 비율</t>
        </is>
      </c>
      <c r="B6" s="5" t="n">
        <v>0.05</v>
      </c>
      <c r="C6" t="inlineStr">
        <is>
          <t>(생산단가의)</t>
        </is>
      </c>
      <c r="I6" s="4" t="inlineStr">
        <is>
          <t>← h_t = 0.05 × c_t (재고비 = 단가의 5%)</t>
        </is>
      </c>
    </row>
    <row r="8">
      <c r="B8" s="6" t="inlineStr">
        <is>
          <t>1월</t>
        </is>
      </c>
      <c r="C8" s="6" t="inlineStr">
        <is>
          <t>2월</t>
        </is>
      </c>
      <c r="D8" s="6" t="inlineStr">
        <is>
          <t>3월</t>
        </is>
      </c>
      <c r="E8" s="6" t="inlineStr">
        <is>
          <t>4월</t>
        </is>
      </c>
      <c r="F8" s="6" t="inlineStr">
        <is>
          <t>5월</t>
        </is>
      </c>
      <c r="G8" s="6" t="inlineStr">
        <is>
          <t>6월</t>
        </is>
      </c>
    </row>
    <row r="9">
      <c r="A9" s="3" t="inlineStr">
        <is>
          <t>월 생산단가(천원)</t>
        </is>
      </c>
      <c r="B9" s="7" t="n">
        <v>12.5</v>
      </c>
      <c r="C9" s="7" t="n">
        <v>12.55</v>
      </c>
      <c r="D9" s="7" t="n">
        <v>12.7</v>
      </c>
      <c r="E9" s="7" t="n">
        <v>12.8</v>
      </c>
      <c r="F9" s="7" t="n">
        <v>12.85</v>
      </c>
      <c r="G9" s="7" t="n">
        <v>12.95</v>
      </c>
      <c r="H9" s="8" t="inlineStr">
        <is>
          <t>c_t</t>
        </is>
      </c>
      <c r="I9" s="4" t="inlineStr">
        <is>
          <t>← 계절적 변동(12.50→12.95). 목적계수 역할</t>
        </is>
      </c>
    </row>
    <row r="10">
      <c r="A10" s="3" t="inlineStr">
        <is>
          <t>월 재고단가(천원)</t>
        </is>
      </c>
      <c r="B10" s="7">
        <f>B9*$B$6</f>
        <v/>
      </c>
      <c r="C10" s="7">
        <f>C9*$B$6</f>
        <v/>
      </c>
      <c r="D10" s="7">
        <f>D9*$B$6</f>
        <v/>
      </c>
      <c r="E10" s="7">
        <f>E9*$B$6</f>
        <v/>
      </c>
      <c r="F10" s="7">
        <f>F9*$B$6</f>
        <v/>
      </c>
      <c r="G10" s="7">
        <f>G9*$B$6</f>
        <v/>
      </c>
      <c r="H10" s="8" t="inlineStr">
        <is>
          <t>h_t</t>
        </is>
      </c>
      <c r="I10" s="4" t="inlineStr">
        <is>
          <t>← 수식: c_t × 5%. 재고비 목적계수</t>
        </is>
      </c>
    </row>
    <row r="12">
      <c r="A12" s="9" t="inlineStr">
        <is>
          <t>생산계획</t>
        </is>
      </c>
      <c r="I12" s="10" t="inlineStr">
        <is>
          <t>【결정변수 영역】</t>
        </is>
      </c>
    </row>
    <row r="13">
      <c r="B13" s="6" t="inlineStr">
        <is>
          <t>1월</t>
        </is>
      </c>
      <c r="C13" s="6" t="inlineStr">
        <is>
          <t>2월</t>
        </is>
      </c>
      <c r="D13" s="6" t="inlineStr">
        <is>
          <t>3월</t>
        </is>
      </c>
      <c r="E13" s="6" t="inlineStr">
        <is>
          <t>4월</t>
        </is>
      </c>
      <c r="F13" s="6" t="inlineStr">
        <is>
          <t>5월</t>
        </is>
      </c>
      <c r="G13" s="6" t="inlineStr">
        <is>
          <t>6월</t>
        </is>
      </c>
    </row>
    <row r="14">
      <c r="A14" s="3" t="inlineStr">
        <is>
          <t>월생산량(천개)</t>
        </is>
      </c>
      <c r="B14" s="11" t="n">
        <v>5</v>
      </c>
      <c r="C14" s="11" t="n">
        <v>20</v>
      </c>
      <c r="D14" s="11" t="n">
        <v>30</v>
      </c>
      <c r="E14" s="11" t="n">
        <v>30</v>
      </c>
      <c r="F14" s="11" t="n">
        <v>25</v>
      </c>
      <c r="G14" s="11" t="n">
        <v>10</v>
      </c>
      <c r="H14" s="8" t="inlineStr">
        <is>
          <t>x_t</t>
        </is>
      </c>
      <c r="I14" s="12" t="inlineStr">
        <is>
          <t>← ★ 결정변수 (Solver 변경 셀). 관리자가 정하는 값</t>
        </is>
      </c>
    </row>
    <row r="15">
      <c r="B15" s="13" t="inlineStr">
        <is>
          <t>&lt;=</t>
        </is>
      </c>
      <c r="C15" s="13" t="inlineStr">
        <is>
          <t>&lt;=</t>
        </is>
      </c>
      <c r="D15" s="13" t="inlineStr">
        <is>
          <t>&lt;=</t>
        </is>
      </c>
      <c r="E15" s="13" t="inlineStr">
        <is>
          <t>&lt;=</t>
        </is>
      </c>
      <c r="F15" s="13" t="inlineStr">
        <is>
          <t>&lt;=</t>
        </is>
      </c>
      <c r="G15" s="13" t="inlineStr">
        <is>
          <t>&lt;=</t>
        </is>
      </c>
      <c r="I15" s="4" t="inlineStr">
        <is>
          <t>← 제약①: 생산량 ≤ 생산능력 (설비 한계)</t>
        </is>
      </c>
    </row>
    <row r="16">
      <c r="A16" s="3" t="inlineStr">
        <is>
          <t>생산능력(천개)</t>
        </is>
      </c>
      <c r="B16" s="14">
        <f>$B$3</f>
        <v/>
      </c>
      <c r="C16" s="14">
        <f>$B$3</f>
        <v/>
      </c>
      <c r="D16" s="14">
        <f>$B$3</f>
        <v/>
      </c>
      <c r="E16" s="14">
        <f>$B$3</f>
        <v/>
      </c>
      <c r="F16" s="14">
        <f>$B$3</f>
        <v/>
      </c>
      <c r="G16" s="14">
        <f>$B$3</f>
        <v/>
      </c>
      <c r="I16" s="4" t="inlineStr">
        <is>
          <t>← RHS: $B$3=30 참조 (파라미터)</t>
        </is>
      </c>
    </row>
    <row r="18">
      <c r="A18" s="3" t="inlineStr">
        <is>
          <t>수요(천개)</t>
        </is>
      </c>
      <c r="B18" s="15" t="n">
        <v>10</v>
      </c>
      <c r="C18" s="15" t="n">
        <v>15</v>
      </c>
      <c r="D18" s="15" t="n">
        <v>30</v>
      </c>
      <c r="E18" s="15" t="n">
        <v>35</v>
      </c>
      <c r="F18" s="15" t="n">
        <v>25</v>
      </c>
      <c r="G18" s="15" t="n">
        <v>10</v>
      </c>
      <c r="H18" s="8" t="inlineStr">
        <is>
          <t>d_t</t>
        </is>
      </c>
      <c r="I18" s="4" t="inlineStr">
        <is>
          <t>← 상수(파라미터). 이미 정해진 수요 예측치</t>
        </is>
      </c>
    </row>
    <row r="19">
      <c r="I19" s="16" t="inlineStr">
        <is>
          <t>4월 수요(35) &gt; 생산상한(30) → 미리 재고 비축 필요!</t>
        </is>
      </c>
    </row>
    <row r="20"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8" t="inlineStr">
        <is>
          <t>하한</t>
        </is>
      </c>
      <c r="I20" s="4" t="inlineStr">
        <is>
          <t>← 제약③: y_t ≥ 0 (백오더 불허. 재고 음수 = 수요 미충족)</t>
        </is>
      </c>
    </row>
    <row r="21">
      <c r="B21" s="13" t="inlineStr">
        <is>
          <t>&lt;=</t>
        </is>
      </c>
      <c r="C21" s="13" t="inlineStr">
        <is>
          <t>&lt;=</t>
        </is>
      </c>
      <c r="D21" s="13" t="inlineStr">
        <is>
          <t>&lt;=</t>
        </is>
      </c>
      <c r="E21" s="13" t="inlineStr">
        <is>
          <t>&lt;=</t>
        </is>
      </c>
      <c r="F21" s="13" t="inlineStr">
        <is>
          <t>&lt;=</t>
        </is>
      </c>
      <c r="G21" s="13" t="inlineStr">
        <is>
          <t>&lt;=</t>
        </is>
      </c>
      <c r="I21" s="4" t="inlineStr">
        <is>
          <t>← 0 ≤ y_t ≤ 10 (재고는 이 범위 안에)</t>
        </is>
      </c>
    </row>
    <row r="22">
      <c r="A22" s="16" t="inlineStr">
        <is>
          <t>월말재고(천개)</t>
        </is>
      </c>
      <c r="B22" s="17">
        <f>$B$5+B14-B18</f>
        <v/>
      </c>
      <c r="C22" s="17">
        <f>B22+C14-C18</f>
        <v/>
      </c>
      <c r="D22" s="17">
        <f>C22+D14-D18</f>
        <v/>
      </c>
      <c r="E22" s="17">
        <f>D22+E14-E18</f>
        <v/>
      </c>
      <c r="F22" s="17">
        <f>E22+F14-F18</f>
        <v/>
      </c>
      <c r="G22" s="17">
        <f>F22+G14-G18</f>
        <v/>
      </c>
      <c r="H22" s="8" t="inlineStr">
        <is>
          <t>y_t</t>
        </is>
      </c>
      <c r="I22" s="16" t="inlineStr">
        <is>
          <t>← ★ Balance Equation: y_t = y_{t-1} + x_t - d_t</t>
        </is>
      </c>
    </row>
    <row r="23">
      <c r="B23" s="13" t="inlineStr">
        <is>
          <t>&lt;=</t>
        </is>
      </c>
      <c r="C23" s="13" t="inlineStr">
        <is>
          <t>&lt;=</t>
        </is>
      </c>
      <c r="D23" s="13" t="inlineStr">
        <is>
          <t>&lt;=</t>
        </is>
      </c>
      <c r="E23" s="13" t="inlineStr">
        <is>
          <t>&lt;=</t>
        </is>
      </c>
      <c r="F23" s="13" t="inlineStr">
        <is>
          <t>&lt;=</t>
        </is>
      </c>
      <c r="G23" s="13" t="inlineStr">
        <is>
          <t>&lt;=</t>
        </is>
      </c>
      <c r="I23" s="4" t="inlineStr">
        <is>
          <t>← 제약②: 월말재고 ≤ 재고용량 (창고 한계)</t>
        </is>
      </c>
    </row>
    <row r="24">
      <c r="B24" s="14">
        <f>$B$4</f>
        <v/>
      </c>
      <c r="C24" s="14">
        <f>$B$4</f>
        <v/>
      </c>
      <c r="D24" s="14">
        <f>$B$4</f>
        <v/>
      </c>
      <c r="E24" s="14">
        <f>$B$4</f>
        <v/>
      </c>
      <c r="F24" s="14">
        <f>$B$4</f>
        <v/>
      </c>
      <c r="G24" s="14">
        <f>$B$4</f>
        <v/>
      </c>
      <c r="H24" s="8" t="inlineStr">
        <is>
          <t>상한</t>
        </is>
      </c>
      <c r="I24" s="4" t="inlineStr">
        <is>
          <t>← RHS: $B$4=10 참조 (파라미터)</t>
        </is>
      </c>
    </row>
    <row r="25">
      <c r="A25" s="9" t="inlineStr">
        <is>
          <t>비용계산</t>
        </is>
      </c>
      <c r="I25" s="10" t="inlineStr">
        <is>
          <t>【목적함수 영역】</t>
        </is>
      </c>
    </row>
    <row r="26">
      <c r="B26" s="6" t="inlineStr">
        <is>
          <t>1월</t>
        </is>
      </c>
      <c r="C26" s="6" t="inlineStr">
        <is>
          <t>2월</t>
        </is>
      </c>
      <c r="D26" s="6" t="inlineStr">
        <is>
          <t>3월</t>
        </is>
      </c>
      <c r="E26" s="6" t="inlineStr">
        <is>
          <t>4월</t>
        </is>
      </c>
      <c r="F26" s="6" t="inlineStr">
        <is>
          <t>5월</t>
        </is>
      </c>
      <c r="G26" s="6" t="inlineStr">
        <is>
          <t>6월</t>
        </is>
      </c>
    </row>
    <row r="27">
      <c r="A27" s="3" t="inlineStr">
        <is>
          <t>생산비(백만원)</t>
        </is>
      </c>
      <c r="B27" s="7">
        <f>B9*B14</f>
        <v/>
      </c>
      <c r="C27" s="7">
        <f>C9*C14</f>
        <v/>
      </c>
      <c r="D27" s="7">
        <f>D9*D14</f>
        <v/>
      </c>
      <c r="E27" s="7">
        <f>E9*E14</f>
        <v/>
      </c>
      <c r="F27" s="7">
        <f>F9*F14</f>
        <v/>
      </c>
      <c r="G27" s="7">
        <f>G9*G14</f>
        <v/>
      </c>
      <c r="I27" s="4" t="inlineStr">
        <is>
          <t>← c_t × x_t (생산단가 × 생산량)</t>
        </is>
      </c>
    </row>
    <row r="28">
      <c r="A28" s="3" t="inlineStr">
        <is>
          <t>재고유지비(백만원)</t>
        </is>
      </c>
      <c r="B28" s="7">
        <f>B10*B22</f>
        <v/>
      </c>
      <c r="C28" s="7">
        <f>C10*C22</f>
        <v/>
      </c>
      <c r="D28" s="7">
        <f>D10*D22</f>
        <v/>
      </c>
      <c r="E28" s="7">
        <f>E10*E22</f>
        <v/>
      </c>
      <c r="F28" s="7">
        <f>F10*F22</f>
        <v/>
      </c>
      <c r="G28" s="7">
        <f>G10*G22</f>
        <v/>
      </c>
      <c r="I28" s="4" t="inlineStr">
        <is>
          <t>← h_t × y_t (재고단가 × 월말재고)</t>
        </is>
      </c>
    </row>
    <row r="29">
      <c r="A29" s="3" t="inlineStr">
        <is>
          <t>합계(백만원)</t>
        </is>
      </c>
      <c r="B29" s="7">
        <f>B27+B28</f>
        <v/>
      </c>
      <c r="C29" s="7">
        <f>C27+C28</f>
        <v/>
      </c>
      <c r="D29" s="7">
        <f>D27+D28</f>
        <v/>
      </c>
      <c r="E29" s="7">
        <f>E27+E28</f>
        <v/>
      </c>
      <c r="F29" s="7">
        <f>F27+F28</f>
        <v/>
      </c>
      <c r="G29" s="7">
        <f>G27+G28</f>
        <v/>
      </c>
      <c r="I29" s="4" t="inlineStr">
        <is>
          <t>← 월별 총비용 = 생산비 + 재고비</t>
        </is>
      </c>
    </row>
    <row r="30">
      <c r="C30" s="16" t="inlineStr">
        <is>
          <t>B22=$B$5+B14-B18</t>
        </is>
      </c>
      <c r="I30" s="16" t="inlineStr">
        <is>
          <t>← 1월: 초기재고(5) + 생산 - 수요</t>
        </is>
      </c>
    </row>
    <row r="31">
      <c r="A31" s="18" t="inlineStr">
        <is>
          <t>총 비용(백만원)</t>
        </is>
      </c>
      <c r="B31" s="19">
        <f>SUM(B29:G29)</f>
        <v/>
      </c>
      <c r="C31" s="16" t="inlineStr">
        <is>
          <t>C22=B22+C14-C18</t>
        </is>
      </c>
      <c r="H31" s="8" t="inlineStr">
        <is>
          <t>Z</t>
        </is>
      </c>
      <c r="I31" s="12" t="inlineStr">
        <is>
          <t>← ★ 목적 셀: min Z = Σ(c_t·x_t + h_t·y_t). Solver → Min</t>
        </is>
      </c>
    </row>
  </sheetData>
  <mergeCells count="1">
    <mergeCell ref="D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55" customWidth="1" min="4" max="4"/>
    <col width="50" customWidth="1" min="5" max="5"/>
  </cols>
  <sheetData>
    <row r="1">
      <c r="A1" s="20" t="inlineStr">
        <is>
          <t>수식 해설 — 각 셀이 무엇을 계산하고, 왜 필요한가</t>
        </is>
      </c>
    </row>
    <row r="3">
      <c r="A3" s="6" t="inlineStr">
        <is>
          <t>셀</t>
        </is>
      </c>
      <c r="B3" s="6" t="inlineStr">
        <is>
          <t>수식</t>
        </is>
      </c>
      <c r="C3" s="6" t="inlineStr">
        <is>
          <t>무엇을 계산하는가</t>
        </is>
      </c>
      <c r="D3" s="6" t="inlineStr">
        <is>
          <t>왜 필요한가 (인과)</t>
        </is>
      </c>
    </row>
    <row r="4">
      <c r="A4" s="21" t="inlineStr">
        <is>
          <t>B9:G9</t>
        </is>
      </c>
      <c r="B4" s="22" t="inlineStr">
        <is>
          <t>12.50, 12.55, …</t>
        </is>
      </c>
      <c r="C4" s="22" t="inlineStr">
        <is>
          <t>월별 생산단가 c_t (천원/천개)</t>
        </is>
      </c>
      <c r="D4" s="22" t="inlineStr">
        <is>
          <t>재료 가격의 계절적 변동. 뒤로 갈수록 비싸짐 → 앞 달에 미리 만들 인센티브</t>
        </is>
      </c>
    </row>
    <row r="5">
      <c r="A5" s="21" t="inlineStr">
        <is>
          <t>B10</t>
        </is>
      </c>
      <c r="B5" s="22">
        <f>B9*$B$6</f>
        <v/>
      </c>
      <c r="C5" s="22" t="inlineStr">
        <is>
          <t>월 재고단가 h_t = c_t × 5%</t>
        </is>
      </c>
      <c r="D5" s="22" t="inlineStr">
        <is>
          <t>재고 유지비의 목적계수. 생산단가에 비례하므로 수식으로 연결</t>
        </is>
      </c>
    </row>
    <row r="6">
      <c r="A6" s="21" t="inlineStr">
        <is>
          <t>B14:G14</t>
        </is>
      </c>
      <c r="B6" s="22" t="inlineStr">
        <is>
          <t>(결정변수)</t>
        </is>
      </c>
      <c r="C6" s="22" t="inlineStr">
        <is>
          <t>월별 생산량 x_t (천개)</t>
        </is>
      </c>
      <c r="D6" s="22" t="inlineStr">
        <is>
          <t>★ Solver가 바꿀 셀. 관리자가 '이번 달에 몇 개 만들지' 정하는 레버</t>
        </is>
      </c>
    </row>
    <row r="7">
      <c r="A7" s="21" t="inlineStr">
        <is>
          <t>B16</t>
        </is>
      </c>
      <c r="B7" s="22">
        <f>$B$3</f>
        <v/>
      </c>
      <c r="C7" s="22" t="inlineStr">
        <is>
          <t>생산능력 30 (상수)</t>
        </is>
      </c>
      <c r="D7" s="22" t="inlineStr">
        <is>
          <t>제약①의 RHS. 설비·인력의 물리적 한계</t>
        </is>
      </c>
    </row>
    <row r="8">
      <c r="A8" s="21" t="inlineStr">
        <is>
          <t>B18:G18</t>
        </is>
      </c>
      <c r="B8" s="22" t="inlineStr">
        <is>
          <t>10, 15, 30, 35, 25, 10</t>
        </is>
      </c>
      <c r="C8" s="22" t="inlineStr">
        <is>
          <t>월별 수요 d_t (상수)</t>
        </is>
      </c>
      <c r="D8" s="22" t="inlineStr">
        <is>
          <t>이미 예측된 수요. 변수가 아니라 파라미터</t>
        </is>
      </c>
    </row>
    <row r="9">
      <c r="A9" s="21" t="inlineStr">
        <is>
          <t>B22</t>
        </is>
      </c>
      <c r="B9" s="22">
        <f>$B$5+B14-B18</f>
        <v/>
      </c>
      <c r="C9" s="22" t="inlineStr">
        <is>
          <t>1월말 재고 y₁ = y₀ + x₁ - d₁</t>
        </is>
      </c>
      <c r="D9" s="22" t="inlineStr">
        <is>
          <t>Balance Eq. 시작점. 초기재고(5) 사용. 결과: 5+x₁-10</t>
        </is>
      </c>
    </row>
    <row r="10">
      <c r="A10" s="21" t="inlineStr">
        <is>
          <t>C22</t>
        </is>
      </c>
      <c r="B10" s="22">
        <f>B22+C14-C18</f>
        <v/>
      </c>
      <c r="C10" s="22" t="inlineStr">
        <is>
          <t>2월말 재고 y₂ = y₁ + x₂ - d₂</t>
        </is>
      </c>
      <c r="D10" s="22" t="inlineStr">
        <is>
          <t>전월말재고(B22) 참조 → 기간 간 체인(동적 연결)의 핵심</t>
        </is>
      </c>
    </row>
    <row r="11">
      <c r="A11" s="21" t="inlineStr">
        <is>
          <t>D22~G22</t>
        </is>
      </c>
      <c r="B11" s="22" t="inlineStr">
        <is>
          <t>(같은 패턴)</t>
        </is>
      </c>
      <c r="C11" s="22" t="inlineStr">
        <is>
          <t>y₃~y₆ = y_{t-1} + x_t - d_t</t>
        </is>
      </c>
      <c r="D11" s="22" t="inlineStr">
        <is>
          <t>체인이 6월까지 이어짐. x₁ 변경 → y₁~y₆ 전부 갱신</t>
        </is>
      </c>
    </row>
    <row r="12">
      <c r="A12" s="21" t="inlineStr">
        <is>
          <t>B27</t>
        </is>
      </c>
      <c r="B12" s="22">
        <f>B9*B14</f>
        <v/>
      </c>
      <c r="C12" s="22" t="inlineStr">
        <is>
          <t>1월 생산비 = c₁ × x₁</t>
        </is>
      </c>
      <c r="D12" s="22" t="inlineStr">
        <is>
          <t>목적함수의 생산비 항. 단가(상수) × 생산량(변수)</t>
        </is>
      </c>
    </row>
    <row r="13">
      <c r="A13" s="21" t="inlineStr">
        <is>
          <t>B28</t>
        </is>
      </c>
      <c r="B13" s="22">
        <f>B10*B22</f>
        <v/>
      </c>
      <c r="C13" s="22" t="inlineStr">
        <is>
          <t>1월 재고비 = h₁ × y₁</t>
        </is>
      </c>
      <c r="D13" s="22" t="inlineStr">
        <is>
          <t>목적함수의 재고비 항. 재고단가(상수) × 월말재고(보조변수)</t>
        </is>
      </c>
    </row>
    <row r="14">
      <c r="A14" s="21" t="inlineStr">
        <is>
          <t>B29</t>
        </is>
      </c>
      <c r="B14" s="22">
        <f>B27+B28</f>
        <v/>
      </c>
      <c r="C14" s="22" t="inlineStr">
        <is>
          <t>1월 총비용 = 생산비 + 재고비</t>
        </is>
      </c>
      <c r="D14" s="22" t="inlineStr">
        <is>
          <t>월별 비용을 합산하기 위한 중간 셀</t>
        </is>
      </c>
    </row>
    <row r="15">
      <c r="A15" s="21" t="inlineStr">
        <is>
          <t>B31</t>
        </is>
      </c>
      <c r="B15" s="22">
        <f>SUM(B29:G29)</f>
        <v/>
      </c>
      <c r="C15" s="22" t="inlineStr">
        <is>
          <t>6개월 총비용 Z (목적 셀)</t>
        </is>
      </c>
      <c r="D15" s="22" t="inlineStr">
        <is>
          <t>★ Solver가 Min할 대상. Z = Σ(c_t·x_t + h_t·y_t)</t>
        </is>
      </c>
    </row>
    <row r="17">
      <c r="A17" s="23" t="inlineStr">
        <is>
          <t>수식 연쇄 흐름도</t>
        </is>
      </c>
    </row>
    <row r="18">
      <c r="A18" s="24" t="inlineStr">
        <is>
          <t>결정변수(x₁~x₆, 행14) ──┬── × 생산단가(행9) ──→ 생산비(행27) ──┐</t>
        </is>
      </c>
    </row>
    <row r="19">
      <c r="A19" s="24" t="inlineStr">
        <is>
          <t xml:space="preserve">                         │                                       ├→ 월별비용(행29) → 총비용(B31, 목적)</t>
        </is>
      </c>
    </row>
    <row r="20">
      <c r="A20" s="24" t="inlineStr">
        <is>
          <t xml:space="preserve">                         └── Balance Eq. ──→ 월말재고(행22) ──────┤</t>
        </is>
      </c>
    </row>
    <row r="21">
      <c r="A21" s="24" t="inlineStr">
        <is>
          <t xml:space="preserve">                              ↑                                   └── × 재고단가(행10) → 재고비(행28)</t>
        </is>
      </c>
    </row>
    <row r="22">
      <c r="A22" s="24" t="inlineStr">
        <is>
          <t xml:space="preserve">                         전월재고(체인)</t>
        </is>
      </c>
    </row>
    <row r="23">
      <c r="A23" s="24" t="inlineStr"/>
    </row>
    <row r="24">
      <c r="A24" s="24" t="inlineStr">
        <is>
          <t>핵심: 모든 수식이 결정변수 6개(x₁~x₆)에서 출발해 파생된다.</t>
        </is>
      </c>
    </row>
    <row r="25">
      <c r="A25" s="24" t="inlineStr">
        <is>
          <t xml:space="preserve">      Solver가 변수를 바꾸면 Balance Eq.을 통해 재고 → 재고비 → 총비용 순으로 자동 갱신.</t>
        </is>
      </c>
    </row>
  </sheetData>
  <mergeCells count="8">
    <mergeCell ref="A21:E21"/>
    <mergeCell ref="A20:E20"/>
    <mergeCell ref="A24:E24"/>
    <mergeCell ref="A25:E25"/>
    <mergeCell ref="A19:E19"/>
    <mergeCell ref="A23:E23"/>
    <mergeCell ref="A22:E22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15" customWidth="1" min="4" max="4"/>
    <col width="55" customWidth="1" min="5" max="5"/>
  </cols>
  <sheetData>
    <row r="1">
      <c r="A1" s="20" t="inlineStr">
        <is>
          <t>제약조건 해설 — 각 제약이 왜 도출되는가</t>
        </is>
      </c>
    </row>
    <row r="3">
      <c r="A3" s="6" t="inlineStr">
        <is>
          <t>#</t>
        </is>
      </c>
      <c r="B3" s="6" t="inlineStr">
        <is>
          <t>제약 이름</t>
        </is>
      </c>
      <c r="C3" s="6" t="inlineStr">
        <is>
          <t>수식 (대수)</t>
        </is>
      </c>
      <c r="D3" s="6" t="inlineStr">
        <is>
          <t>엑셀 셀</t>
        </is>
      </c>
      <c r="E3" s="6" t="inlineStr">
        <is>
          <t>인과 (왜 이 제약인가)</t>
        </is>
      </c>
    </row>
    <row r="4">
      <c r="A4" s="25" t="inlineStr">
        <is>
          <t>①</t>
        </is>
      </c>
      <c r="B4" s="25" t="inlineStr">
        <is>
          <t>생산 상한</t>
        </is>
      </c>
      <c r="C4" s="25" t="inlineStr">
        <is>
          <t>x_t ≤ 30  (t=1,…,6)</t>
        </is>
      </c>
      <c r="D4" s="25" t="inlineStr">
        <is>
          <t>B14:G14 ≤ B16:G16</t>
        </is>
      </c>
      <c r="E4" s="25" t="inlineStr">
        <is>
          <t>공장 설비·인력·작업시간의 물리적 한계. 아무리 수요가 많아도(4월 35) 한 달에 30 초과 생산 불가 → 미리 재고 비축 필요</t>
        </is>
      </c>
    </row>
    <row r="5">
      <c r="A5" s="25" t="inlineStr">
        <is>
          <t>②</t>
        </is>
      </c>
      <c r="B5" s="25" t="inlineStr">
        <is>
          <t>재고 상한</t>
        </is>
      </c>
      <c r="C5" s="25" t="inlineStr">
        <is>
          <t>y_t ≤ 10  (t=1,…,6)</t>
        </is>
      </c>
      <c r="D5" s="25" t="inlineStr">
        <is>
          <t>B22:G22 ≤ B24:G24</t>
        </is>
      </c>
      <c r="E5" s="25" t="inlineStr">
        <is>
          <t>창고 공간·보관조건의 물리적 한계. 미리 많이 만들고 싶어도 10천개까지만 보관 가능</t>
        </is>
      </c>
    </row>
    <row r="6">
      <c r="A6" s="26" t="inlineStr">
        <is>
          <t>③</t>
        </is>
      </c>
      <c r="B6" s="26" t="inlineStr">
        <is>
          <t>백오더 불허</t>
        </is>
      </c>
      <c r="C6" s="26" t="inlineStr">
        <is>
          <t>y_t ≥ 0  (t=1,…,6)</t>
        </is>
      </c>
      <c r="D6" s="26" t="inlineStr">
        <is>
          <t>B22:G22 ≥ B20:G20</t>
        </is>
      </c>
      <c r="E6" s="26" t="inlineStr">
        <is>
          <t>월말재고 음수 = '수요 못 채우고 다음달로 밀림(주문잔고)'. 이 문제에서는 허용 안 함</t>
        </is>
      </c>
    </row>
    <row r="7">
      <c r="A7" s="27" t="inlineStr">
        <is>
          <t>④</t>
        </is>
      </c>
      <c r="B7" s="27" t="inlineStr">
        <is>
          <t>비음 조건</t>
        </is>
      </c>
      <c r="C7" s="27" t="inlineStr">
        <is>
          <t>x_t ≥ 0  (t=1,…,6)</t>
        </is>
      </c>
      <c r="D7" s="27" t="inlineStr">
        <is>
          <t>B14:G14 ≥ 0</t>
        </is>
      </c>
      <c r="E7" s="27" t="inlineStr">
        <is>
          <t>음수 생산은 물리적으로 불가능</t>
        </is>
      </c>
    </row>
    <row r="8">
      <c r="A8" s="28" t="inlineStr">
        <is>
          <t>⑤</t>
        </is>
      </c>
      <c r="B8" s="28" t="inlineStr">
        <is>
          <t>Balance Eq.</t>
        </is>
      </c>
      <c r="C8" s="28" t="inlineStr">
        <is>
          <t>y_t = y_{t-1} + x_t - d_t</t>
        </is>
      </c>
      <c r="D8" s="28" t="inlineStr">
        <is>
          <t>행22 수식</t>
        </is>
      </c>
      <c r="E8" s="28" t="inlineStr">
        <is>
          <t>★ 등식이 아니라 수식 셀로 구현. Solver 제약이 아닌 엑셀 수식으로 처리됨</t>
        </is>
      </c>
    </row>
    <row r="11">
      <c r="A11" s="23" t="inlineStr">
        <is>
          <t>제약 부호 비교 — 이 문제 vs 이전 문제들</t>
        </is>
      </c>
    </row>
    <row r="12">
      <c r="A12" s="6" t="inlineStr">
        <is>
          <t>문제</t>
        </is>
      </c>
      <c r="B12" s="6" t="inlineStr">
        <is>
          <t>제약 부호</t>
        </is>
      </c>
      <c r="C12" s="6" t="inlineStr">
        <is>
          <t>인과</t>
        </is>
      </c>
    </row>
    <row r="13">
      <c r="A13" s="3" t="inlineStr">
        <is>
          <t>Decora (절단)</t>
        </is>
      </c>
      <c r="B13" s="29" t="inlineStr">
        <is>
          <t>≥</t>
        </is>
      </c>
      <c r="C13" s="22" t="inlineStr">
        <is>
          <t>수요 이상 잘라야 (초과 = 폐기, 허용)</t>
        </is>
      </c>
    </row>
    <row r="14">
      <c r="A14" s="3" t="inlineStr">
        <is>
          <t>Big M (운송)</t>
        </is>
      </c>
      <c r="B14" s="29" t="inlineStr">
        <is>
          <t>=</t>
        </is>
      </c>
      <c r="C14" s="22" t="inlineStr">
        <is>
          <t>공급·수요 정확히 일치 (고정 요건)</t>
        </is>
      </c>
    </row>
    <row r="15">
      <c r="A15" s="3" t="inlineStr">
        <is>
          <t>Sellmore (할당)</t>
        </is>
      </c>
      <c r="B15" s="29" t="inlineStr">
        <is>
          <t>=</t>
        </is>
      </c>
      <c r="C15" s="22" t="inlineStr">
        <is>
          <t>1:1 배정 (겸임·공석 불가)</t>
        </is>
      </c>
    </row>
    <row r="16">
      <c r="A16" s="3" t="inlineStr">
        <is>
          <t>W사 (혼합)</t>
        </is>
      </c>
      <c r="B16" s="29" t="inlineStr">
        <is>
          <t>≤ + ≥ 혼합</t>
        </is>
      </c>
      <c r="C16" s="22" t="inlineStr">
        <is>
          <t>자원 ≤ (남겨도 됨) + 품질 ≥ (기준 이상)</t>
        </is>
      </c>
    </row>
    <row r="17">
      <c r="A17" s="3" t="inlineStr">
        <is>
          <t>축구공 (동적)</t>
        </is>
      </c>
      <c r="B17" s="29" t="inlineStr">
        <is>
          <t>≤ + ≥ + Balance</t>
        </is>
      </c>
      <c r="C17" s="22" t="inlineStr">
        <is>
          <t>생산·재고 상한(≤) + 비음(≥) + 기간 간 연쇄(=)</t>
        </is>
      </c>
    </row>
    <row r="20">
      <c r="A20" s="23" t="inlineStr">
        <is>
          <t>Solver 설정 요약</t>
        </is>
      </c>
    </row>
    <row r="21">
      <c r="A21" s="6" t="inlineStr">
        <is>
          <t>항목</t>
        </is>
      </c>
      <c r="B21" s="6" t="inlineStr">
        <is>
          <t>설정</t>
        </is>
      </c>
      <c r="C21" s="6" t="inlineStr">
        <is>
          <t>비고</t>
        </is>
      </c>
    </row>
    <row r="22">
      <c r="A22" s="3" t="inlineStr">
        <is>
          <t>목적 셀</t>
        </is>
      </c>
      <c r="B22" s="22" t="inlineStr">
        <is>
          <t>B31 = SUM(B29:G29)</t>
        </is>
      </c>
      <c r="C22" s="22" t="inlineStr">
        <is>
          <t>→ Min (6개월 총비용 최소화)</t>
        </is>
      </c>
    </row>
    <row r="23">
      <c r="A23" s="3" t="inlineStr">
        <is>
          <t>변경 셀</t>
        </is>
      </c>
      <c r="B23" s="22" t="inlineStr">
        <is>
          <t>B14:G14 (6개)</t>
        </is>
      </c>
      <c r="C23" s="22" t="inlineStr">
        <is>
          <t>결정변수 x₁~x₆ (월별 생산량)</t>
        </is>
      </c>
    </row>
    <row r="24">
      <c r="A24" s="3" t="inlineStr">
        <is>
          <t>제약①</t>
        </is>
      </c>
      <c r="B24" s="22" t="inlineStr">
        <is>
          <t>B14:G14 ≤ 30</t>
        </is>
      </c>
      <c r="C24" s="22" t="inlineStr">
        <is>
          <t>생산 상한</t>
        </is>
      </c>
    </row>
    <row r="25">
      <c r="A25" s="3" t="inlineStr">
        <is>
          <t>제약②</t>
        </is>
      </c>
      <c r="B25" s="22" t="inlineStr">
        <is>
          <t>B22:G22 ≤ 10</t>
        </is>
      </c>
      <c r="C25" s="22" t="inlineStr">
        <is>
          <t>재고 상한 (=$B$4)</t>
        </is>
      </c>
    </row>
    <row r="26">
      <c r="A26" s="3" t="inlineStr">
        <is>
          <t>제약③</t>
        </is>
      </c>
      <c r="B26" s="22" t="inlineStr">
        <is>
          <t>B22:G22 ≥ 0</t>
        </is>
      </c>
      <c r="C26" s="22" t="inlineStr">
        <is>
          <t>백오더 불허</t>
        </is>
      </c>
    </row>
    <row r="27">
      <c r="A27" s="3" t="inlineStr">
        <is>
          <t>제약④</t>
        </is>
      </c>
      <c r="B27" s="22" t="inlineStr">
        <is>
          <t>B14:G14 ≥ 0</t>
        </is>
      </c>
      <c r="C27" s="22" t="inlineStr">
        <is>
          <t>비음 (또는 Solver 옵션 '비음 가정' 체크)</t>
        </is>
      </c>
    </row>
    <row r="28">
      <c r="A28" s="3" t="inlineStr">
        <is>
          <t>해법</t>
        </is>
      </c>
      <c r="B28" s="22" t="inlineStr">
        <is>
          <t>Simplex LP</t>
        </is>
      </c>
      <c r="C28" s="22" t="inlineStr">
        <is>
          <t>선형 모형이므로 Simplex 사용</t>
        </is>
      </c>
    </row>
    <row r="29">
      <c r="A29" s="3" t="inlineStr"/>
      <c r="B29" s="22" t="inlineStr"/>
      <c r="C29" s="22" t="inlineStr"/>
    </row>
    <row r="30">
      <c r="A30" s="16" t="inlineStr">
        <is>
          <t>주의</t>
        </is>
      </c>
      <c r="B30" s="22" t="inlineStr">
        <is>
          <t>Balance Eq.(행22)는 수식 셀</t>
        </is>
      </c>
      <c r="C30" s="22" t="inlineStr">
        <is>
          <t>Solver 제약에 넣지 않음! 수식이 자동 계산</t>
        </is>
      </c>
    </row>
    <row r="33">
      <c r="A33" s="23" t="inlineStr">
        <is>
          <t>핵심 트레이드오프 — 왜 '동적'인가</t>
        </is>
      </c>
    </row>
    <row r="34">
      <c r="A34" s="30" t="inlineStr">
        <is>
          <t>1. 4월 수요(35) &gt; 생산상한(30) → 부족분 5를 이전 달 재고로 보충해야 함</t>
        </is>
      </c>
    </row>
    <row r="35">
      <c r="A35" s="30" t="inlineStr">
        <is>
          <t>2. 생산단가가 뒤로 갈수록 비쌈 (12.50→12.95) → 앞 달에 미리 만들 인센티브</t>
        </is>
      </c>
    </row>
    <row r="36">
      <c r="A36" s="30" t="inlineStr">
        <is>
          <t>3. 하지만 재고비(5%)가 들고, 재고상한(10)도 있음 → 무한정 미리 만들 수 없음</t>
        </is>
      </c>
    </row>
    <row r="37">
      <c r="A37" s="30" t="inlineStr">
        <is>
          <t>4. 결론: '싼 달에 미리 만들어 재고로 쌓을지' vs '비싼 달에 만들지만 재고비 아낄지'</t>
        </is>
      </c>
    </row>
    <row r="38">
      <c r="A38" s="30" t="inlineStr">
        <is>
          <t xml:space="preserve">   → 이 트레이드오프를 LP가 최적으로 풀어준다</t>
        </is>
      </c>
    </row>
    <row r="39">
      <c r="A39" s="30" t="inlineStr"/>
    </row>
    <row r="40">
      <c r="A40" s="30" t="inlineStr">
        <is>
          <t>이것이 이전 단일기간 문제(Decora, Big M, Sellmore, W사)에는 없던 '시간적 배분' 구조이다.</t>
        </is>
      </c>
    </row>
  </sheetData>
  <mergeCells count="7">
    <mergeCell ref="A39:E39"/>
    <mergeCell ref="A34:E34"/>
    <mergeCell ref="A35:E35"/>
    <mergeCell ref="A38:E38"/>
    <mergeCell ref="A37:E37"/>
    <mergeCell ref="A36:E36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5" customWidth="1" min="4" max="4"/>
  </cols>
  <sheetData>
    <row r="1">
      <c r="A1" s="20" t="inlineStr">
        <is>
          <t>단위 해설 — 왜 숫자가 이렇게 나오는가</t>
        </is>
      </c>
    </row>
    <row r="3">
      <c r="A3" s="6" t="inlineStr">
        <is>
          <t>항목</t>
        </is>
      </c>
      <c r="B3" s="6" t="inlineStr">
        <is>
          <t>원래 단위</t>
        </is>
      </c>
      <c r="C3" s="6" t="inlineStr">
        <is>
          <t>엑셀 단위</t>
        </is>
      </c>
      <c r="D3" s="6" t="inlineStr">
        <is>
          <t>변환 설명</t>
        </is>
      </c>
    </row>
    <row r="4">
      <c r="A4" s="3" t="inlineStr">
        <is>
          <t>생산량 x_t</t>
        </is>
      </c>
      <c r="B4" t="inlineStr">
        <is>
          <t>개</t>
        </is>
      </c>
      <c r="C4" t="inlineStr">
        <is>
          <t>천 개</t>
        </is>
      </c>
      <c r="D4" s="22" t="inlineStr">
        <is>
          <t>1 = 1,000개</t>
        </is>
      </c>
    </row>
    <row r="5">
      <c r="A5" s="3" t="inlineStr">
        <is>
          <t>수요 d_t</t>
        </is>
      </c>
      <c r="B5" t="inlineStr">
        <is>
          <t>개</t>
        </is>
      </c>
      <c r="C5" t="inlineStr">
        <is>
          <t>천 개</t>
        </is>
      </c>
      <c r="D5" s="22" t="inlineStr">
        <is>
          <t>1 = 1,000개</t>
        </is>
      </c>
    </row>
    <row r="6">
      <c r="A6" s="3" t="inlineStr">
        <is>
          <t>재고 y_t</t>
        </is>
      </c>
      <c r="B6" t="inlineStr">
        <is>
          <t>개</t>
        </is>
      </c>
      <c r="C6" t="inlineStr">
        <is>
          <t>천 개</t>
        </is>
      </c>
      <c r="D6" s="22" t="inlineStr">
        <is>
          <t>1 = 1,000개</t>
        </is>
      </c>
    </row>
    <row r="7">
      <c r="A7" s="3" t="inlineStr">
        <is>
          <t>생산단가 c_t</t>
        </is>
      </c>
      <c r="B7" t="inlineStr">
        <is>
          <t>원/개</t>
        </is>
      </c>
      <c r="C7" t="inlineStr">
        <is>
          <t>천원/천개</t>
        </is>
      </c>
      <c r="D7" s="22" t="inlineStr">
        <is>
          <t>12.50 = 12,500원/1,000개</t>
        </is>
      </c>
    </row>
    <row r="8">
      <c r="A8" s="3" t="inlineStr">
        <is>
          <t>재고단가 h_t</t>
        </is>
      </c>
      <c r="B8" t="inlineStr">
        <is>
          <t>원/개·월</t>
        </is>
      </c>
      <c r="C8" t="inlineStr">
        <is>
          <t>천원/천개·월</t>
        </is>
      </c>
      <c r="D8" s="22" t="inlineStr">
        <is>
          <t>0.625 = 625원/1,000개·월</t>
        </is>
      </c>
    </row>
    <row r="9">
      <c r="A9" s="3" t="inlineStr">
        <is>
          <t>생산비 c_t·x_t</t>
        </is>
      </c>
      <c r="B9" t="inlineStr">
        <is>
          <t>원</t>
        </is>
      </c>
      <c r="C9" t="inlineStr">
        <is>
          <t>백만원</t>
        </is>
      </c>
      <c r="D9" s="22" t="inlineStr">
        <is>
          <t>12.50 × 5 = 62.50 (= 6,250만원)</t>
        </is>
      </c>
    </row>
    <row r="10">
      <c r="A10" s="3" t="inlineStr">
        <is>
          <t>재고비 h_t·y_t</t>
        </is>
      </c>
      <c r="B10" t="inlineStr">
        <is>
          <t>원</t>
        </is>
      </c>
      <c r="C10" t="inlineStr">
        <is>
          <t>백만원</t>
        </is>
      </c>
      <c r="D10" s="22" t="inlineStr">
        <is>
          <t>0.625 × 5 = 3.125 (= 312.5만원)</t>
        </is>
      </c>
    </row>
    <row r="11">
      <c r="A11" s="3" t="inlineStr">
        <is>
          <t>총비용 Z</t>
        </is>
      </c>
      <c r="B11" t="inlineStr">
        <is>
          <t>원</t>
        </is>
      </c>
      <c r="C11" t="inlineStr">
        <is>
          <t>백만원</t>
        </is>
      </c>
      <c r="D11" s="22" t="inlineStr">
        <is>
          <t>1,535.56 (= 약 15억 3,556만원)</t>
        </is>
      </c>
    </row>
    <row r="14">
      <c r="A14" s="16" t="inlineStr">
        <is>
          <t>단위 확인 공식:</t>
        </is>
      </c>
    </row>
    <row r="15">
      <c r="A15" t="inlineStr">
        <is>
          <t>생산비 = (천원/천개) × (천개) = 천원 × 천 = 백만원</t>
        </is>
      </c>
    </row>
    <row r="16">
      <c r="A16" t="inlineStr">
        <is>
          <t>재고비 = (천원/천개·월) × (천개) = 백만원/월</t>
        </is>
      </c>
    </row>
    <row r="17">
      <c r="A17" t="inlineStr">
        <is>
          <t>총비용 = 백만원 (6개월 합산)</t>
        </is>
      </c>
    </row>
  </sheetData>
  <mergeCells count="3">
    <mergeCell ref="A15:D15"/>
    <mergeCell ref="A17:D17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2026-03-30T06:24:21Z</dcterms:created>
  <dcterms:modified xsi:type="dcterms:W3CDTF">2026-03-30T06:24:21Z</dcterms:modified>
</cp:coreProperties>
</file>