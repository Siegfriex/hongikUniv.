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수최적해" sheetId="1" state="visible" r:id="rId1"/>
    <sheet name="정수최적해" sheetId="2" state="visible" r:id="rId2"/>
    <sheet name="수식해설" sheetId="3" state="visible" r:id="rId3"/>
    <sheet name="제약조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333399"/>
      <sz val="11"/>
    </font>
    <font>
      <b val="1"/>
    </font>
    <font>
      <b val="1"/>
      <color rgb="00006600"/>
    </font>
    <font>
      <b val="1"/>
      <color rgb="00FF0000"/>
    </font>
    <font>
      <b val="1"/>
      <color rgb="000000FF"/>
    </font>
    <font>
      <b val="1"/>
      <color rgb="00660099"/>
    </font>
    <font>
      <b val="1"/>
      <color rgb="00FF0000"/>
      <sz val="12"/>
    </font>
    <font>
      <b val="1"/>
      <color rgb="00333399"/>
      <sz val="14"/>
    </font>
    <font>
      <b val="1"/>
      <color rgb="00333399"/>
      <sz val="12"/>
    </font>
    <font>
      <name val="Consolas"/>
      <sz val="9"/>
    </font>
    <font>
      <sz val="10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DAEEF3"/>
        <bgColor rgb="00DAEEF3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  <border>
      <left style="double">
        <color rgb="000000FF"/>
      </left>
      <right style="double">
        <color rgb="000000FF"/>
      </right>
      <top style="double">
        <color rgb="000000FF"/>
      </top>
      <bottom style="double">
        <color rgb="000000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4" fillId="3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7" fillId="4" borderId="2" applyAlignment="1" pivotButton="0" quotePrefix="0" xfId="0">
      <alignment horizontal="center" vertical="center"/>
    </xf>
    <xf numFmtId="0" fontId="7" fillId="0" borderId="0" pivotButton="0" quotePrefix="0" xfId="0"/>
    <xf numFmtId="2" fontId="0" fillId="5" borderId="3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2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0" fillId="5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</cols>
  <sheetData>
    <row r="1">
      <c r="A1" s="1" t="inlineStr">
        <is>
          <t>행복가구의 총괄계획(실수 최적해)</t>
        </is>
      </c>
    </row>
    <row r="3">
      <c r="A3" s="2" t="inlineStr">
        <is>
          <t>입력자료</t>
        </is>
      </c>
      <c r="H3" s="3" t="inlineStr">
        <is>
          <t>【파라미터 영역】</t>
        </is>
      </c>
    </row>
    <row r="4">
      <c r="A4" s="4" t="inlineStr">
        <is>
          <t>초기재고</t>
        </is>
      </c>
      <c r="B4" s="5" t="n">
        <v>55</v>
      </c>
      <c r="C4" t="inlineStr">
        <is>
          <t>개</t>
        </is>
      </c>
      <c r="H4" s="6" t="inlineStr">
        <is>
          <t>← I₀ = 55. 재고 Balance Eq.의 시작점</t>
        </is>
      </c>
    </row>
    <row r="5">
      <c r="A5" s="4" t="inlineStr">
        <is>
          <t>초기 작업자수</t>
        </is>
      </c>
      <c r="B5" s="5" t="n">
        <v>3</v>
      </c>
      <c r="C5" t="inlineStr">
        <is>
          <t>명</t>
        </is>
      </c>
      <c r="H5" s="6" t="inlineStr">
        <is>
          <t>← W₀ = 3. 인원 Balance Eq.의 시작점</t>
        </is>
      </c>
    </row>
    <row r="6">
      <c r="A6" s="4" t="inlineStr">
        <is>
          <t>정규작업시간/월간/작업자당</t>
        </is>
      </c>
      <c r="B6" s="7" t="n">
        <v>160</v>
      </c>
      <c r="C6" t="inlineStr">
        <is>
          <t>시간</t>
        </is>
      </c>
      <c r="H6" s="6" t="inlineStr">
        <is>
          <t>← 1인당 월 정규시간. 정규작업시간 = W_t × 160</t>
        </is>
      </c>
    </row>
    <row r="7">
      <c r="A7" s="4" t="inlineStr">
        <is>
          <t>초과작업시간/월간/작업자당</t>
        </is>
      </c>
      <c r="B7" s="7" t="n">
        <v>20</v>
      </c>
      <c r="C7" t="inlineStr">
        <is>
          <t>시간</t>
        </is>
      </c>
      <c r="H7" s="6" t="inlineStr">
        <is>
          <t>← 1인당 월 최대 초과. 제약: O_t ≤ W_t × 20</t>
        </is>
      </c>
    </row>
    <row r="8">
      <c r="A8" s="4" t="inlineStr">
        <is>
          <t>고용비용(작업자당)</t>
        </is>
      </c>
      <c r="B8" s="7" t="n">
        <v>170</v>
      </c>
      <c r="C8" t="inlineStr">
        <is>
          <t>만원</t>
        </is>
      </c>
      <c r="H8" s="6" t="inlineStr">
        <is>
          <t>← 목적계수. 고용비 = 170 × H_t</t>
        </is>
      </c>
    </row>
    <row r="9">
      <c r="A9" s="4" t="inlineStr">
        <is>
          <t>해고비용(작업자당)</t>
        </is>
      </c>
      <c r="B9" s="7" t="n">
        <v>210</v>
      </c>
      <c r="C9" t="inlineStr">
        <is>
          <t>만원</t>
        </is>
      </c>
      <c r="H9" s="6" t="inlineStr">
        <is>
          <t>← 목적계수. 해고비 = 210 × F_t (고용보다 비쌈!)</t>
        </is>
      </c>
    </row>
    <row r="10">
      <c r="A10" s="4" t="inlineStr">
        <is>
          <t>정규임금/월간/작업자당</t>
        </is>
      </c>
      <c r="B10" s="7" t="n">
        <v>150</v>
      </c>
      <c r="C10" t="inlineStr">
        <is>
          <t>만원</t>
        </is>
      </c>
      <c r="H10" s="6" t="inlineStr">
        <is>
          <t>← 목적계수. 정규임금 = 150 × W_t</t>
        </is>
      </c>
    </row>
    <row r="11">
      <c r="A11" s="4" t="inlineStr">
        <is>
          <t>초과작업 수당(시간당)</t>
        </is>
      </c>
      <c r="B11" s="7" t="n">
        <v>2</v>
      </c>
      <c r="C11" t="inlineStr">
        <is>
          <t>만원</t>
        </is>
      </c>
      <c r="H11" s="6" t="inlineStr">
        <is>
          <t>← 목적계수. 초과수당 = 2 × O_t</t>
        </is>
      </c>
    </row>
    <row r="12">
      <c r="A12" s="4" t="inlineStr">
        <is>
          <t>작업요구시간(옷장당)</t>
        </is>
      </c>
      <c r="B12" s="7" t="n">
        <v>4</v>
      </c>
      <c r="C12" t="inlineStr">
        <is>
          <t>시간</t>
        </is>
      </c>
      <c r="H12" s="6" t="inlineStr">
        <is>
          <t>← 생산능력 = 총작업시간 / 4</t>
        </is>
      </c>
    </row>
    <row r="13">
      <c r="A13" s="4" t="inlineStr">
        <is>
          <t>재료비(옷장당)</t>
        </is>
      </c>
      <c r="B13" s="7" t="n">
        <v>3</v>
      </c>
      <c r="C13" t="inlineStr">
        <is>
          <t>만원</t>
        </is>
      </c>
      <c r="H13" s="6" t="inlineStr">
        <is>
          <t>← 목적계수. 재료비 = 3 × P_t</t>
        </is>
      </c>
    </row>
    <row r="14">
      <c r="A14" s="4" t="inlineStr">
        <is>
          <t>재고유지비(옷장당)</t>
        </is>
      </c>
      <c r="B14" s="7" t="n">
        <v>2</v>
      </c>
      <c r="C14" t="inlineStr">
        <is>
          <t>만원</t>
        </is>
      </c>
      <c r="H14" s="6" t="inlineStr">
        <is>
          <t>← 목적계수. 재고비 = 2 × I_t</t>
        </is>
      </c>
    </row>
    <row r="16">
      <c r="A16" s="2" t="inlineStr">
        <is>
          <t>작업자 고용 계획</t>
        </is>
      </c>
      <c r="C16" s="8" t="inlineStr">
        <is>
          <t>고용/해고: 월초에 발생한다 가정</t>
        </is>
      </c>
      <c r="H16" s="3" t="inlineStr">
        <is>
          <t>【인원 Balance Equation 영역】</t>
        </is>
      </c>
    </row>
    <row r="17">
      <c r="B17" s="9" t="inlineStr">
        <is>
          <t>1월</t>
        </is>
      </c>
      <c r="C17" s="9" t="inlineStr">
        <is>
          <t>2월</t>
        </is>
      </c>
      <c r="D17" s="9" t="inlineStr">
        <is>
          <t>3월</t>
        </is>
      </c>
      <c r="E17" s="9" t="inlineStr">
        <is>
          <t>4월</t>
        </is>
      </c>
      <c r="F17" s="9" t="inlineStr">
        <is>
          <t>5월</t>
        </is>
      </c>
    </row>
    <row r="18">
      <c r="A18" s="4" t="inlineStr">
        <is>
          <t>이월되는 작업자수</t>
        </is>
      </c>
      <c r="B18" s="10">
        <f>$B$5</f>
        <v/>
      </c>
      <c r="C18" s="10">
        <f>B21</f>
        <v/>
      </c>
      <c r="D18" s="10">
        <f>C21</f>
        <v/>
      </c>
      <c r="E18" s="10">
        <f>D21</f>
        <v/>
      </c>
      <c r="F18" s="10">
        <f>E21</f>
        <v/>
      </c>
      <c r="H18" s="6" t="inlineStr">
        <is>
          <t>← B18=$B$5(초기인원). C18=B21(전월 근무가능=이번달 이월)</t>
        </is>
      </c>
    </row>
    <row r="19">
      <c r="A19" s="4" t="inlineStr">
        <is>
          <t>고용 작업자수</t>
        </is>
      </c>
      <c r="B19" s="11" t="n">
        <v>6.96</v>
      </c>
      <c r="C19" s="11" t="n">
        <v>0</v>
      </c>
      <c r="D19" s="11" t="n">
        <v>0</v>
      </c>
      <c r="E19" s="11" t="n">
        <v>0</v>
      </c>
      <c r="F19" s="11" t="n">
        <v>0</v>
      </c>
      <c r="H19" s="12" t="inlineStr">
        <is>
          <t>← ★ 결정변수 H_t (Solver 변경 셀)</t>
        </is>
      </c>
    </row>
    <row r="20">
      <c r="A20" s="4" t="inlineStr">
        <is>
          <t>해고 작업자수</t>
        </is>
      </c>
      <c r="B20" s="11" t="n">
        <v>0</v>
      </c>
      <c r="C20" s="11" t="n">
        <v>0</v>
      </c>
      <c r="D20" s="11" t="n">
        <v>0</v>
      </c>
      <c r="E20" s="11" t="n">
        <v>4.84</v>
      </c>
      <c r="F20" s="11" t="n">
        <v>0</v>
      </c>
      <c r="H20" s="12" t="inlineStr">
        <is>
          <t>← ★ 결정변수 F_t (Solver 변경 셀)</t>
        </is>
      </c>
    </row>
    <row r="21">
      <c r="A21" s="8" t="inlineStr">
        <is>
          <t>근무가능한 작업자수</t>
        </is>
      </c>
      <c r="B21" s="13">
        <f>B18+B19-B20</f>
        <v/>
      </c>
      <c r="C21" s="13">
        <f>C18+C19-C20</f>
        <v/>
      </c>
      <c r="D21" s="13">
        <f>D18+D19-D20</f>
        <v/>
      </c>
      <c r="E21" s="13">
        <f>E18+E19-E20</f>
        <v/>
      </c>
      <c r="F21" s="13">
        <f>F18+F19-F20</f>
        <v/>
      </c>
      <c r="G21" s="14" t="inlineStr">
        <is>
          <t>W_t</t>
        </is>
      </c>
      <c r="H21" s="8" t="inlineStr">
        <is>
          <t>← ★ 인원 Balance: W_t = W_{t-1} + H_t - F_t</t>
        </is>
      </c>
    </row>
    <row r="23">
      <c r="A23" s="4" t="inlineStr">
        <is>
          <t>가능한 정규작업시간</t>
        </is>
      </c>
      <c r="B23" s="10">
        <f>B21*$B$6</f>
        <v/>
      </c>
      <c r="C23" s="10">
        <f>C21*$B$6</f>
        <v/>
      </c>
      <c r="D23" s="10">
        <f>D21*$B$6</f>
        <v/>
      </c>
      <c r="E23" s="10">
        <f>E21*$B$6</f>
        <v/>
      </c>
      <c r="F23" s="10">
        <f>F21*$B$6</f>
        <v/>
      </c>
      <c r="H23" s="6" t="inlineStr">
        <is>
          <t>← W_t × 160. 인원이 정하면 자동 결정</t>
        </is>
      </c>
    </row>
    <row r="24">
      <c r="A24" s="4" t="inlineStr">
        <is>
          <t>초과작업시간</t>
        </is>
      </c>
      <c r="B24" s="11" t="n">
        <v>0</v>
      </c>
      <c r="C24" s="11" t="n">
        <v>0</v>
      </c>
      <c r="D24" s="11" t="n">
        <v>199.2</v>
      </c>
      <c r="E24" s="11" t="n">
        <v>0</v>
      </c>
      <c r="F24" s="11" t="n">
        <v>0</v>
      </c>
      <c r="H24" s="12" t="inlineStr">
        <is>
          <t>← ★ 결정변수 O_t (Solver 변경 셀)</t>
        </is>
      </c>
    </row>
    <row r="25">
      <c r="B25" s="15" t="inlineStr">
        <is>
          <t>&lt;=</t>
        </is>
      </c>
      <c r="C25" s="15" t="inlineStr">
        <is>
          <t>&lt;=</t>
        </is>
      </c>
      <c r="D25" s="15" t="inlineStr">
        <is>
          <t>&lt;=</t>
        </is>
      </c>
      <c r="E25" s="15" t="inlineStr">
        <is>
          <t>&lt;=</t>
        </is>
      </c>
      <c r="F25" s="15" t="inlineStr">
        <is>
          <t>&lt;=</t>
        </is>
      </c>
      <c r="H25" s="6" t="inlineStr">
        <is>
          <t>← 제약②: 초과작업 ≤ 최대 초과작업 가능시간</t>
        </is>
      </c>
    </row>
    <row r="26">
      <c r="A26" s="4" t="inlineStr">
        <is>
          <t>최대 초과작업 가능시간</t>
        </is>
      </c>
      <c r="B26" s="10">
        <f>B21*$B$7</f>
        <v/>
      </c>
      <c r="C26" s="10">
        <f>C21*$B$7</f>
        <v/>
      </c>
      <c r="D26" s="10">
        <f>D21*$B$7</f>
        <v/>
      </c>
      <c r="E26" s="10">
        <f>E21*$B$7</f>
        <v/>
      </c>
      <c r="F26" s="10">
        <f>F21*$B$7</f>
        <v/>
      </c>
      <c r="H26" s="6" t="inlineStr">
        <is>
          <t>← W_t × 20. 제약②의 RHS</t>
        </is>
      </c>
    </row>
    <row r="28">
      <c r="A28" s="4" t="inlineStr">
        <is>
          <t>생산에 투자된 총작업시간</t>
        </is>
      </c>
      <c r="B28" s="10">
        <f>B23+B24</f>
        <v/>
      </c>
      <c r="C28" s="10">
        <f>C23+C24</f>
        <v/>
      </c>
      <c r="D28" s="10">
        <f>D23+D24</f>
        <v/>
      </c>
      <c r="E28" s="10">
        <f>E23+E24</f>
        <v/>
      </c>
      <c r="F28" s="10">
        <f>F23+F24</f>
        <v/>
      </c>
      <c r="H28" s="6" t="inlineStr">
        <is>
          <t>← 정규시간 + 초과시간. 생산능력 계산의 입력</t>
        </is>
      </c>
    </row>
    <row r="30">
      <c r="A30" s="2" t="inlineStr">
        <is>
          <t>생산계획</t>
        </is>
      </c>
      <c r="H30" s="3" t="inlineStr">
        <is>
          <t>【재고 Balance Equation 영역】</t>
        </is>
      </c>
    </row>
    <row r="31">
      <c r="B31" s="9" t="inlineStr">
        <is>
          <t>1월</t>
        </is>
      </c>
      <c r="C31" s="9" t="inlineStr">
        <is>
          <t>2월</t>
        </is>
      </c>
      <c r="D31" s="9" t="inlineStr">
        <is>
          <t>3월</t>
        </is>
      </c>
      <c r="E31" s="9" t="inlineStr">
        <is>
          <t>4월</t>
        </is>
      </c>
      <c r="F31" s="9" t="inlineStr">
        <is>
          <t>5월</t>
        </is>
      </c>
    </row>
    <row r="32">
      <c r="A32" s="4" t="inlineStr">
        <is>
          <t>옷장 생산량</t>
        </is>
      </c>
      <c r="B32" s="11" t="n">
        <v>398.4</v>
      </c>
      <c r="C32" s="11" t="n">
        <v>398.4</v>
      </c>
      <c r="D32" s="11" t="n">
        <v>448.2</v>
      </c>
      <c r="E32" s="11" t="n">
        <v>205</v>
      </c>
      <c r="F32" s="11" t="n">
        <v>205</v>
      </c>
      <c r="H32" s="12" t="inlineStr">
        <is>
          <t>← ★ 결정변수 P_t (Solver 변경 셀)</t>
        </is>
      </c>
    </row>
    <row r="33">
      <c r="B33" s="15" t="inlineStr">
        <is>
          <t>&lt;=</t>
        </is>
      </c>
      <c r="C33" s="15" t="inlineStr">
        <is>
          <t>&lt;=</t>
        </is>
      </c>
      <c r="D33" s="15" t="inlineStr">
        <is>
          <t>&lt;=</t>
        </is>
      </c>
      <c r="E33" s="15" t="inlineStr">
        <is>
          <t>&lt;=</t>
        </is>
      </c>
      <c r="F33" s="15" t="inlineStr">
        <is>
          <t>&lt;=</t>
        </is>
      </c>
      <c r="H33" s="6" t="inlineStr">
        <is>
          <t>← 제약③: 생산량 ≤ 생산능력</t>
        </is>
      </c>
    </row>
    <row r="34">
      <c r="A34" s="4" t="inlineStr">
        <is>
          <t>생산능력</t>
        </is>
      </c>
      <c r="B34" s="10">
        <f>B28/$B$12</f>
        <v/>
      </c>
      <c r="C34" s="10">
        <f>C28/$B$12</f>
        <v/>
      </c>
      <c r="D34" s="10">
        <f>D28/$B$12</f>
        <v/>
      </c>
      <c r="E34" s="10">
        <f>E28/$B$12</f>
        <v/>
      </c>
      <c r="F34" s="10">
        <f>F28/$B$12</f>
        <v/>
      </c>
      <c r="H34" s="6" t="inlineStr">
        <is>
          <t>← 총작업시간 / 4(시간/개). 제약③의 RHS</t>
        </is>
      </c>
    </row>
    <row r="36">
      <c r="A36" s="4" t="inlineStr">
        <is>
          <t>수요</t>
        </is>
      </c>
      <c r="B36" s="16" t="n">
        <v>350</v>
      </c>
      <c r="C36" s="16" t="n">
        <v>400</v>
      </c>
      <c r="D36" s="16" t="n">
        <v>550</v>
      </c>
      <c r="E36" s="16" t="n">
        <v>200</v>
      </c>
      <c r="F36" s="16" t="n">
        <v>210</v>
      </c>
      <c r="G36" s="14" t="inlineStr">
        <is>
          <t>d_t</t>
        </is>
      </c>
      <c r="H36" s="6" t="inlineStr">
        <is>
          <t>← 상수. 3월(550) &gt; 정규 최대(400) → 초과 or 재고 필요</t>
        </is>
      </c>
    </row>
    <row r="37">
      <c r="A37" s="8" t="inlineStr">
        <is>
          <t>월말재고</t>
        </is>
      </c>
      <c r="B37" s="13">
        <f>$B$4+B32-B36</f>
        <v/>
      </c>
      <c r="C37" s="13">
        <f>B37+C32-C36</f>
        <v/>
      </c>
      <c r="D37" s="13">
        <f>C37+D32-D36</f>
        <v/>
      </c>
      <c r="E37" s="13">
        <f>D37+E32-E36</f>
        <v/>
      </c>
      <c r="F37" s="13">
        <f>E37+F32-F36</f>
        <v/>
      </c>
      <c r="G37" s="14" t="inlineStr">
        <is>
          <t>I_t</t>
        </is>
      </c>
      <c r="H37" s="8" t="inlineStr">
        <is>
          <t>← ★ 재고 Balance: I_t = I_{t-1} + P_t - d_t</t>
        </is>
      </c>
    </row>
    <row r="38">
      <c r="B38" s="15" t="inlineStr">
        <is>
          <t>&gt;=</t>
        </is>
      </c>
      <c r="C38" s="15" t="inlineStr">
        <is>
          <t>&gt;=</t>
        </is>
      </c>
      <c r="D38" s="15" t="inlineStr">
        <is>
          <t>&gt;=</t>
        </is>
      </c>
      <c r="E38" s="15" t="inlineStr">
        <is>
          <t>&gt;=</t>
        </is>
      </c>
      <c r="F38" s="15" t="inlineStr">
        <is>
          <t>&gt;=</t>
        </is>
      </c>
      <c r="H38" s="6" t="inlineStr">
        <is>
          <t>← 제약⑤: 백오더 불허 (월말재고 ≥ 0)</t>
        </is>
      </c>
    </row>
    <row r="39">
      <c r="A39" s="4" t="inlineStr">
        <is>
          <t>수요만족을 위한 조건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H39" s="6" t="inlineStr">
        <is>
          <t>← 하한 = 0. I_t ≥ 0</t>
        </is>
      </c>
    </row>
    <row r="41">
      <c r="A41" s="2" t="inlineStr">
        <is>
          <t>발생비용(만원)</t>
        </is>
      </c>
      <c r="H41" s="3" t="inlineStr">
        <is>
          <t>【목적함수 영역 — 6가지 비용】</t>
        </is>
      </c>
    </row>
    <row r="42">
      <c r="B42" s="9" t="inlineStr">
        <is>
          <t>1월</t>
        </is>
      </c>
      <c r="C42" s="9" t="inlineStr">
        <is>
          <t>2월</t>
        </is>
      </c>
      <c r="D42" s="9" t="inlineStr">
        <is>
          <t>3월</t>
        </is>
      </c>
      <c r="E42" s="9" t="inlineStr">
        <is>
          <t>4월</t>
        </is>
      </c>
      <c r="F42" s="9" t="inlineStr">
        <is>
          <t>5월</t>
        </is>
      </c>
      <c r="G42" s="9" t="inlineStr">
        <is>
          <t>합계</t>
        </is>
      </c>
    </row>
    <row r="43">
      <c r="A43" s="4" t="inlineStr">
        <is>
          <t>고용비용</t>
        </is>
      </c>
      <c r="B43" s="18">
        <f>B19*$B$8</f>
        <v/>
      </c>
      <c r="C43" s="18">
        <f>C19*$B$8</f>
        <v/>
      </c>
      <c r="D43" s="18">
        <f>D19*$B$8</f>
        <v/>
      </c>
      <c r="E43" s="18">
        <f>E19*$B$8</f>
        <v/>
      </c>
      <c r="F43" s="18">
        <f>F19*$B$8</f>
        <v/>
      </c>
      <c r="G43" s="19">
        <f>SUM(B43:F43)</f>
        <v/>
      </c>
      <c r="H43" s="6" t="inlineStr">
        <is>
          <t>← 170 × H_t</t>
        </is>
      </c>
    </row>
    <row r="44">
      <c r="A44" s="4" t="inlineStr">
        <is>
          <t>해고비용</t>
        </is>
      </c>
      <c r="B44" s="18">
        <f>B20*$B$9</f>
        <v/>
      </c>
      <c r="C44" s="18">
        <f>C20*$B$9</f>
        <v/>
      </c>
      <c r="D44" s="18">
        <f>D20*$B$9</f>
        <v/>
      </c>
      <c r="E44" s="18">
        <f>E20*$B$9</f>
        <v/>
      </c>
      <c r="F44" s="18">
        <f>F20*$B$9</f>
        <v/>
      </c>
      <c r="G44" s="19">
        <f>SUM(B44:F44)</f>
        <v/>
      </c>
      <c r="H44" s="6" t="inlineStr">
        <is>
          <t>← 210 × F_t</t>
        </is>
      </c>
    </row>
    <row r="45">
      <c r="A45" s="4" t="inlineStr">
        <is>
          <t>정규임금</t>
        </is>
      </c>
      <c r="B45" s="18">
        <f>B21*$B$10</f>
        <v/>
      </c>
      <c r="C45" s="18">
        <f>C21*$B$10</f>
        <v/>
      </c>
      <c r="D45" s="18">
        <f>D21*$B$10</f>
        <v/>
      </c>
      <c r="E45" s="18">
        <f>E21*$B$10</f>
        <v/>
      </c>
      <c r="F45" s="18">
        <f>F21*$B$10</f>
        <v/>
      </c>
      <c r="G45" s="19">
        <f>SUM(B45:F45)</f>
        <v/>
      </c>
      <c r="H45" s="6" t="inlineStr">
        <is>
          <t>← 150 × W_t</t>
        </is>
      </c>
    </row>
    <row r="46">
      <c r="A46" s="4" t="inlineStr">
        <is>
          <t>초과작업수당</t>
        </is>
      </c>
      <c r="B46" s="18">
        <f>B24*$B$11</f>
        <v/>
      </c>
      <c r="C46" s="18">
        <f>C24*$B$11</f>
        <v/>
      </c>
      <c r="D46" s="18">
        <f>D24*$B$11</f>
        <v/>
      </c>
      <c r="E46" s="18">
        <f>E24*$B$11</f>
        <v/>
      </c>
      <c r="F46" s="18">
        <f>F24*$B$11</f>
        <v/>
      </c>
      <c r="G46" s="19">
        <f>SUM(B46:F46)</f>
        <v/>
      </c>
      <c r="H46" s="6" t="inlineStr">
        <is>
          <t>← 2 × O_t</t>
        </is>
      </c>
    </row>
    <row r="47">
      <c r="A47" s="4" t="inlineStr">
        <is>
          <t>재료비</t>
        </is>
      </c>
      <c r="B47" s="18">
        <f>B32*$B$13</f>
        <v/>
      </c>
      <c r="C47" s="18">
        <f>C32*$B$13</f>
        <v/>
      </c>
      <c r="D47" s="18">
        <f>D32*$B$13</f>
        <v/>
      </c>
      <c r="E47" s="18">
        <f>E32*$B$13</f>
        <v/>
      </c>
      <c r="F47" s="18">
        <f>F32*$B$13</f>
        <v/>
      </c>
      <c r="G47" s="19">
        <f>SUM(B47:F47)</f>
        <v/>
      </c>
      <c r="H47" s="6" t="inlineStr">
        <is>
          <t>← 3 × P_t</t>
        </is>
      </c>
    </row>
    <row r="48">
      <c r="A48" s="4" t="inlineStr">
        <is>
          <t>재고유지비</t>
        </is>
      </c>
      <c r="B48" s="18">
        <f>B37*$B$14</f>
        <v/>
      </c>
      <c r="C48" s="18">
        <f>C37*$B$14</f>
        <v/>
      </c>
      <c r="D48" s="18">
        <f>D37*$B$14</f>
        <v/>
      </c>
      <c r="E48" s="18">
        <f>E37*$B$14</f>
        <v/>
      </c>
      <c r="F48" s="18">
        <f>F37*$B$14</f>
        <v/>
      </c>
      <c r="G48" s="19">
        <f>SUM(B48:F48)</f>
        <v/>
      </c>
      <c r="H48" s="6" t="inlineStr">
        <is>
          <t>← 2 × I_t</t>
        </is>
      </c>
    </row>
    <row r="49">
      <c r="A49" s="4" t="inlineStr">
        <is>
          <t>합계</t>
        </is>
      </c>
      <c r="B49" s="19">
        <f>SUM(B43:B48)</f>
        <v/>
      </c>
      <c r="C49" s="19">
        <f>SUM(C43:C48)</f>
        <v/>
      </c>
      <c r="D49" s="19">
        <f>SUM(D43:D48)</f>
        <v/>
      </c>
      <c r="E49" s="19">
        <f>SUM(E43:E48)</f>
        <v/>
      </c>
      <c r="F49" s="19">
        <f>SUM(F43:F48)</f>
        <v/>
      </c>
      <c r="G49" s="20">
        <f>SUM(G43:G48)</f>
        <v/>
      </c>
      <c r="H49" s="12" t="inlineStr">
        <is>
          <t>← ★ 목적 셀: min Z = Σ(고용+해고+정규+초과+재료+재고)</t>
        </is>
      </c>
    </row>
    <row r="51">
      <c r="A51" s="2" t="inlineStr">
        <is>
          <t>수식 참조</t>
        </is>
      </c>
    </row>
    <row r="52">
      <c r="A52" s="8" t="inlineStr">
        <is>
          <t>B21 = B18 + B19 - B20  (인원 Balance: 이월 + 고용 - 해고)</t>
        </is>
      </c>
    </row>
    <row r="53">
      <c r="A53" s="8" t="inlineStr">
        <is>
          <t>C18 = B21  (전월 근무가능 → 이번달 이월)</t>
        </is>
      </c>
    </row>
    <row r="54">
      <c r="A54" s="8" t="inlineStr">
        <is>
          <t>B23 = B21 * $B$6  (정규시간 = 인원 × 160)</t>
        </is>
      </c>
    </row>
    <row r="55">
      <c r="A55" s="8" t="inlineStr">
        <is>
          <t>B26 = B21 * $B$7  (최대초과 = 인원 × 20)</t>
        </is>
      </c>
    </row>
    <row r="56">
      <c r="A56" s="8" t="inlineStr">
        <is>
          <t>B28 = B23 + B24  (총작업시간 = 정규 + 초과)</t>
        </is>
      </c>
    </row>
    <row r="57">
      <c r="A57" s="8" t="inlineStr">
        <is>
          <t>B34 = B28 / $B$12  (생산능력 = 총시간 / 4)</t>
        </is>
      </c>
    </row>
    <row r="58">
      <c r="A58" s="8" t="inlineStr">
        <is>
          <t>B37 = $B$4 + B32 - B36  (1월 재고: 초기재고 + 생산 - 수요)</t>
        </is>
      </c>
    </row>
    <row r="59">
      <c r="A59" s="8" t="inlineStr">
        <is>
          <t>C37 = B37 + C32 - C36  (2월~ 재고: 전월재고 + 생산 - 수요)</t>
        </is>
      </c>
    </row>
    <row r="61">
      <c r="A61" s="21" t="inlineStr">
        <is>
          <t>실수 최적해 결과</t>
        </is>
      </c>
    </row>
    <row r="62">
      <c r="A62" s="8" t="inlineStr">
        <is>
          <t>목표셀(총비용) ≈ 14,001 (만원)</t>
        </is>
      </c>
    </row>
    <row r="63">
      <c r="A63" s="8" t="inlineStr">
        <is>
          <t>→ 다음 단계: 정수 조건 추가 (고용·해고를 정수로)</t>
        </is>
      </c>
    </row>
    <row r="64">
      <c r="A64" s="4" t="inlineStr">
        <is>
          <t xml:space="preserve">  (1) 정수 제약: B19:F19, B20:F20 = integer</t>
        </is>
      </c>
    </row>
    <row r="65">
      <c r="A65" s="4" t="inlineStr">
        <is>
          <t xml:space="preserve">  (2) 옵션: 정수 최적화 비율(허용한도) = 0%</t>
        </is>
      </c>
    </row>
  </sheetData>
  <mergeCells count="8">
    <mergeCell ref="A58:G58"/>
    <mergeCell ref="A56:G56"/>
    <mergeCell ref="A53:G53"/>
    <mergeCell ref="A55:G55"/>
    <mergeCell ref="A54:G54"/>
    <mergeCell ref="A52:G52"/>
    <mergeCell ref="A59:G59"/>
    <mergeCell ref="A57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</cols>
  <sheetData>
    <row r="1">
      <c r="A1" s="1" t="inlineStr">
        <is>
          <t>행복가구의 총괄계획(정수 최적해)</t>
        </is>
      </c>
    </row>
    <row r="3">
      <c r="A3" s="2" t="inlineStr">
        <is>
          <t>입력자료</t>
        </is>
      </c>
      <c r="H3" s="3" t="inlineStr">
        <is>
          <t>【파라미터 영역】</t>
        </is>
      </c>
    </row>
    <row r="4">
      <c r="A4" s="4" t="inlineStr">
        <is>
          <t>초기재고</t>
        </is>
      </c>
      <c r="B4" s="5" t="n">
        <v>55</v>
      </c>
      <c r="C4" t="inlineStr">
        <is>
          <t>개</t>
        </is>
      </c>
      <c r="H4" s="6" t="inlineStr">
        <is>
          <t>← I₀ = 55. 재고 Balance Eq.의 시작점</t>
        </is>
      </c>
    </row>
    <row r="5">
      <c r="A5" s="4" t="inlineStr">
        <is>
          <t>초기 작업자수</t>
        </is>
      </c>
      <c r="B5" s="5" t="n">
        <v>3</v>
      </c>
      <c r="C5" t="inlineStr">
        <is>
          <t>명</t>
        </is>
      </c>
      <c r="H5" s="6" t="inlineStr">
        <is>
          <t>← W₀ = 3. 인원 Balance Eq.의 시작점</t>
        </is>
      </c>
    </row>
    <row r="6">
      <c r="A6" s="4" t="inlineStr">
        <is>
          <t>정규작업시간/월간/작업자당</t>
        </is>
      </c>
      <c r="B6" s="7" t="n">
        <v>160</v>
      </c>
      <c r="C6" t="inlineStr">
        <is>
          <t>시간</t>
        </is>
      </c>
      <c r="H6" s="6" t="inlineStr">
        <is>
          <t>← 1인당 월 정규시간. 정규작업시간 = W_t × 160</t>
        </is>
      </c>
    </row>
    <row r="7">
      <c r="A7" s="4" t="inlineStr">
        <is>
          <t>초과작업시간/월간/작업자당</t>
        </is>
      </c>
      <c r="B7" s="7" t="n">
        <v>20</v>
      </c>
      <c r="C7" t="inlineStr">
        <is>
          <t>시간</t>
        </is>
      </c>
      <c r="H7" s="6" t="inlineStr">
        <is>
          <t>← 1인당 월 최대 초과. 제약: O_t ≤ W_t × 20</t>
        </is>
      </c>
    </row>
    <row r="8">
      <c r="A8" s="4" t="inlineStr">
        <is>
          <t>고용비용(작업자당)</t>
        </is>
      </c>
      <c r="B8" s="7" t="n">
        <v>170</v>
      </c>
      <c r="C8" t="inlineStr">
        <is>
          <t>만원</t>
        </is>
      </c>
      <c r="H8" s="6" t="inlineStr">
        <is>
          <t>← 목적계수. 고용비 = 170 × H_t</t>
        </is>
      </c>
    </row>
    <row r="9">
      <c r="A9" s="4" t="inlineStr">
        <is>
          <t>해고비용(작업자당)</t>
        </is>
      </c>
      <c r="B9" s="7" t="n">
        <v>210</v>
      </c>
      <c r="C9" t="inlineStr">
        <is>
          <t>만원</t>
        </is>
      </c>
      <c r="H9" s="6" t="inlineStr">
        <is>
          <t>← 목적계수. 해고비 = 210 × F_t (고용보다 비쌈!)</t>
        </is>
      </c>
    </row>
    <row r="10">
      <c r="A10" s="4" t="inlineStr">
        <is>
          <t>정규임금/월간/작업자당</t>
        </is>
      </c>
      <c r="B10" s="7" t="n">
        <v>150</v>
      </c>
      <c r="C10" t="inlineStr">
        <is>
          <t>만원</t>
        </is>
      </c>
      <c r="H10" s="6" t="inlineStr">
        <is>
          <t>← 목적계수. 정규임금 = 150 × W_t</t>
        </is>
      </c>
    </row>
    <row r="11">
      <c r="A11" s="4" t="inlineStr">
        <is>
          <t>초과작업 수당(시간당)</t>
        </is>
      </c>
      <c r="B11" s="7" t="n">
        <v>2</v>
      </c>
      <c r="C11" t="inlineStr">
        <is>
          <t>만원</t>
        </is>
      </c>
      <c r="H11" s="6" t="inlineStr">
        <is>
          <t>← 목적계수. 초과수당 = 2 × O_t</t>
        </is>
      </c>
    </row>
    <row r="12">
      <c r="A12" s="4" t="inlineStr">
        <is>
          <t>작업요구시간(옷장당)</t>
        </is>
      </c>
      <c r="B12" s="7" t="n">
        <v>4</v>
      </c>
      <c r="C12" t="inlineStr">
        <is>
          <t>시간</t>
        </is>
      </c>
      <c r="H12" s="6" t="inlineStr">
        <is>
          <t>← 생산능력 = 총작업시간 / 4</t>
        </is>
      </c>
    </row>
    <row r="13">
      <c r="A13" s="4" t="inlineStr">
        <is>
          <t>재료비(옷장당)</t>
        </is>
      </c>
      <c r="B13" s="7" t="n">
        <v>3</v>
      </c>
      <c r="C13" t="inlineStr">
        <is>
          <t>만원</t>
        </is>
      </c>
      <c r="H13" s="6" t="inlineStr">
        <is>
          <t>← 목적계수. 재료비 = 3 × P_t</t>
        </is>
      </c>
    </row>
    <row r="14">
      <c r="A14" s="4" t="inlineStr">
        <is>
          <t>재고유지비(옷장당)</t>
        </is>
      </c>
      <c r="B14" s="7" t="n">
        <v>2</v>
      </c>
      <c r="C14" t="inlineStr">
        <is>
          <t>만원</t>
        </is>
      </c>
      <c r="H14" s="6" t="inlineStr">
        <is>
          <t>← 목적계수. 재고비 = 2 × I_t</t>
        </is>
      </c>
    </row>
    <row r="16">
      <c r="A16" s="2" t="inlineStr">
        <is>
          <t>작업자 고용 계획</t>
        </is>
      </c>
      <c r="C16" s="8" t="inlineStr">
        <is>
          <t>고용/해고: 월초에 발생한다 가정</t>
        </is>
      </c>
      <c r="H16" s="3" t="inlineStr">
        <is>
          <t>【인원 Balance Equation 영역】</t>
        </is>
      </c>
    </row>
    <row r="17">
      <c r="B17" s="9" t="inlineStr">
        <is>
          <t>1월</t>
        </is>
      </c>
      <c r="C17" s="9" t="inlineStr">
        <is>
          <t>2월</t>
        </is>
      </c>
      <c r="D17" s="9" t="inlineStr">
        <is>
          <t>3월</t>
        </is>
      </c>
      <c r="E17" s="9" t="inlineStr">
        <is>
          <t>4월</t>
        </is>
      </c>
      <c r="F17" s="9" t="inlineStr">
        <is>
          <t>5월</t>
        </is>
      </c>
    </row>
    <row r="18">
      <c r="A18" s="4" t="inlineStr">
        <is>
          <t>이월되는 작업자수</t>
        </is>
      </c>
      <c r="B18" s="10">
        <f>$B$5</f>
        <v/>
      </c>
      <c r="C18" s="10">
        <f>B21</f>
        <v/>
      </c>
      <c r="D18" s="10">
        <f>C21</f>
        <v/>
      </c>
      <c r="E18" s="10">
        <f>D21</f>
        <v/>
      </c>
      <c r="F18" s="10">
        <f>E21</f>
        <v/>
      </c>
      <c r="H18" s="6" t="inlineStr">
        <is>
          <t>← B18=$B$5(초기인원). C18=B21(전월 근무가능=이번달 이월)</t>
        </is>
      </c>
    </row>
    <row r="19">
      <c r="A19" s="4" t="inlineStr">
        <is>
          <t>고용 작업자수</t>
        </is>
      </c>
      <c r="B19" s="11" t="n">
        <v>7</v>
      </c>
      <c r="C19" s="11" t="n">
        <v>0</v>
      </c>
      <c r="D19" s="11" t="n">
        <v>0</v>
      </c>
      <c r="E19" s="11" t="n">
        <v>0</v>
      </c>
      <c r="F19" s="11" t="n">
        <v>0</v>
      </c>
      <c r="H19" s="12" t="inlineStr">
        <is>
          <t>← ★ 결정변수 H_t (Solver 변경 셀)</t>
        </is>
      </c>
    </row>
    <row r="20">
      <c r="A20" s="4" t="inlineStr">
        <is>
          <t>해고 작업자수</t>
        </is>
      </c>
      <c r="B20" s="11" t="n">
        <v>0</v>
      </c>
      <c r="C20" s="11" t="n">
        <v>0</v>
      </c>
      <c r="D20" s="11" t="n">
        <v>0</v>
      </c>
      <c r="E20" s="11" t="n">
        <v>5</v>
      </c>
      <c r="F20" s="11" t="n">
        <v>0</v>
      </c>
      <c r="H20" s="12" t="inlineStr">
        <is>
          <t>← ★ 결정변수 F_t (Solver 변경 셀)</t>
        </is>
      </c>
    </row>
    <row r="21">
      <c r="A21" s="8" t="inlineStr">
        <is>
          <t>근무가능한 작업자수</t>
        </is>
      </c>
      <c r="B21" s="13">
        <f>B18+B19-B20</f>
        <v/>
      </c>
      <c r="C21" s="13">
        <f>C18+C19-C20</f>
        <v/>
      </c>
      <c r="D21" s="13">
        <f>D18+D19-D20</f>
        <v/>
      </c>
      <c r="E21" s="13">
        <f>E18+E19-E20</f>
        <v/>
      </c>
      <c r="F21" s="13">
        <f>F18+F19-F20</f>
        <v/>
      </c>
      <c r="G21" s="14" t="inlineStr">
        <is>
          <t>W_t</t>
        </is>
      </c>
      <c r="H21" s="8" t="inlineStr">
        <is>
          <t>← ★ 인원 Balance: W_t = W_{t-1} + H_t - F_t</t>
        </is>
      </c>
    </row>
    <row r="23">
      <c r="A23" s="4" t="inlineStr">
        <is>
          <t>가능한 정규작업시간</t>
        </is>
      </c>
      <c r="B23" s="10">
        <f>B21*$B$6</f>
        <v/>
      </c>
      <c r="C23" s="10">
        <f>C21*$B$6</f>
        <v/>
      </c>
      <c r="D23" s="10">
        <f>D21*$B$6</f>
        <v/>
      </c>
      <c r="E23" s="10">
        <f>E21*$B$6</f>
        <v/>
      </c>
      <c r="F23" s="10">
        <f>F21*$B$6</f>
        <v/>
      </c>
      <c r="H23" s="6" t="inlineStr">
        <is>
          <t>← W_t × 160. 인원이 정하면 자동 결정</t>
        </is>
      </c>
    </row>
    <row r="24">
      <c r="A24" s="4" t="inlineStr">
        <is>
          <t>초과작업시간</t>
        </is>
      </c>
      <c r="B24" s="11" t="n">
        <v>0</v>
      </c>
      <c r="C24" s="11" t="n">
        <v>0</v>
      </c>
      <c r="D24" s="11" t="n">
        <v>180</v>
      </c>
      <c r="E24" s="11" t="n">
        <v>0</v>
      </c>
      <c r="F24" s="11" t="n">
        <v>40</v>
      </c>
      <c r="H24" s="12" t="inlineStr">
        <is>
          <t>← ★ 결정변수 O_t (Solver 변경 셀)</t>
        </is>
      </c>
    </row>
    <row r="25">
      <c r="B25" s="15" t="inlineStr">
        <is>
          <t>&lt;=</t>
        </is>
      </c>
      <c r="C25" s="15" t="inlineStr">
        <is>
          <t>&lt;=</t>
        </is>
      </c>
      <c r="D25" s="15" t="inlineStr">
        <is>
          <t>&lt;=</t>
        </is>
      </c>
      <c r="E25" s="15" t="inlineStr">
        <is>
          <t>&lt;=</t>
        </is>
      </c>
      <c r="F25" s="15" t="inlineStr">
        <is>
          <t>&lt;=</t>
        </is>
      </c>
      <c r="H25" s="6" t="inlineStr">
        <is>
          <t>← 제약②: 초과작업 ≤ 최대 초과작업 가능시간</t>
        </is>
      </c>
    </row>
    <row r="26">
      <c r="A26" s="4" t="inlineStr">
        <is>
          <t>최대 초과작업 가능시간</t>
        </is>
      </c>
      <c r="B26" s="10">
        <f>B21*$B$7</f>
        <v/>
      </c>
      <c r="C26" s="10">
        <f>C21*$B$7</f>
        <v/>
      </c>
      <c r="D26" s="10">
        <f>D21*$B$7</f>
        <v/>
      </c>
      <c r="E26" s="10">
        <f>E21*$B$7</f>
        <v/>
      </c>
      <c r="F26" s="10">
        <f>F21*$B$7</f>
        <v/>
      </c>
      <c r="H26" s="6" t="inlineStr">
        <is>
          <t>← W_t × 20. 제약②의 RHS</t>
        </is>
      </c>
    </row>
    <row r="28">
      <c r="A28" s="4" t="inlineStr">
        <is>
          <t>생산에 투자된 총작업시간</t>
        </is>
      </c>
      <c r="B28" s="10">
        <f>B23+B24</f>
        <v/>
      </c>
      <c r="C28" s="10">
        <f>C23+C24</f>
        <v/>
      </c>
      <c r="D28" s="10">
        <f>D23+D24</f>
        <v/>
      </c>
      <c r="E28" s="10">
        <f>E23+E24</f>
        <v/>
      </c>
      <c r="F28" s="10">
        <f>F23+F24</f>
        <v/>
      </c>
      <c r="H28" s="6" t="inlineStr">
        <is>
          <t>← 정규시간 + 초과시간. 생산능력 계산의 입력</t>
        </is>
      </c>
    </row>
    <row r="30">
      <c r="A30" s="2" t="inlineStr">
        <is>
          <t>생산계획</t>
        </is>
      </c>
      <c r="H30" s="3" t="inlineStr">
        <is>
          <t>【재고 Balance Equation 영역】</t>
        </is>
      </c>
    </row>
    <row r="31">
      <c r="B31" s="9" t="inlineStr">
        <is>
          <t>1월</t>
        </is>
      </c>
      <c r="C31" s="9" t="inlineStr">
        <is>
          <t>2월</t>
        </is>
      </c>
      <c r="D31" s="9" t="inlineStr">
        <is>
          <t>3월</t>
        </is>
      </c>
      <c r="E31" s="9" t="inlineStr">
        <is>
          <t>4월</t>
        </is>
      </c>
      <c r="F31" s="9" t="inlineStr">
        <is>
          <t>5월</t>
        </is>
      </c>
    </row>
    <row r="32">
      <c r="A32" s="4" t="inlineStr">
        <is>
          <t>옷장 생산량</t>
        </is>
      </c>
      <c r="B32" s="11" t="n">
        <v>400</v>
      </c>
      <c r="C32" s="11" t="n">
        <v>400</v>
      </c>
      <c r="D32" s="11" t="n">
        <v>445</v>
      </c>
      <c r="E32" s="11" t="n">
        <v>200</v>
      </c>
      <c r="F32" s="11" t="n">
        <v>210</v>
      </c>
      <c r="H32" s="12" t="inlineStr">
        <is>
          <t>← ★ 결정변수 P_t (Solver 변경 셀)</t>
        </is>
      </c>
    </row>
    <row r="33">
      <c r="B33" s="15" t="inlineStr">
        <is>
          <t>&lt;=</t>
        </is>
      </c>
      <c r="C33" s="15" t="inlineStr">
        <is>
          <t>&lt;=</t>
        </is>
      </c>
      <c r="D33" s="15" t="inlineStr">
        <is>
          <t>&lt;=</t>
        </is>
      </c>
      <c r="E33" s="15" t="inlineStr">
        <is>
          <t>&lt;=</t>
        </is>
      </c>
      <c r="F33" s="15" t="inlineStr">
        <is>
          <t>&lt;=</t>
        </is>
      </c>
      <c r="H33" s="6" t="inlineStr">
        <is>
          <t>← 제약③: 생산량 ≤ 생산능력</t>
        </is>
      </c>
    </row>
    <row r="34">
      <c r="A34" s="4" t="inlineStr">
        <is>
          <t>생산능력</t>
        </is>
      </c>
      <c r="B34" s="10">
        <f>B28/$B$12</f>
        <v/>
      </c>
      <c r="C34" s="10">
        <f>C28/$B$12</f>
        <v/>
      </c>
      <c r="D34" s="10">
        <f>D28/$B$12</f>
        <v/>
      </c>
      <c r="E34" s="10">
        <f>E28/$B$12</f>
        <v/>
      </c>
      <c r="F34" s="10">
        <f>F28/$B$12</f>
        <v/>
      </c>
      <c r="H34" s="6" t="inlineStr">
        <is>
          <t>← 총작업시간 / 4(시간/개). 제약③의 RHS</t>
        </is>
      </c>
    </row>
    <row r="36">
      <c r="A36" s="4" t="inlineStr">
        <is>
          <t>수요</t>
        </is>
      </c>
      <c r="B36" s="16" t="n">
        <v>350</v>
      </c>
      <c r="C36" s="16" t="n">
        <v>400</v>
      </c>
      <c r="D36" s="16" t="n">
        <v>550</v>
      </c>
      <c r="E36" s="16" t="n">
        <v>200</v>
      </c>
      <c r="F36" s="16" t="n">
        <v>210</v>
      </c>
      <c r="G36" s="14" t="inlineStr">
        <is>
          <t>d_t</t>
        </is>
      </c>
      <c r="H36" s="6" t="inlineStr">
        <is>
          <t>← 상수. 3월(550) &gt; 정규 최대(400) → 초과 or 재고 필요</t>
        </is>
      </c>
    </row>
    <row r="37">
      <c r="A37" s="8" t="inlineStr">
        <is>
          <t>월말재고</t>
        </is>
      </c>
      <c r="B37" s="13">
        <f>$B$4+B32-B36</f>
        <v/>
      </c>
      <c r="C37" s="13">
        <f>B37+C32-C36</f>
        <v/>
      </c>
      <c r="D37" s="13">
        <f>C37+D32-D36</f>
        <v/>
      </c>
      <c r="E37" s="13">
        <f>D37+E32-E36</f>
        <v/>
      </c>
      <c r="F37" s="13">
        <f>E37+F32-F36</f>
        <v/>
      </c>
      <c r="G37" s="14" t="inlineStr">
        <is>
          <t>I_t</t>
        </is>
      </c>
      <c r="H37" s="8" t="inlineStr">
        <is>
          <t>← ★ 재고 Balance: I_t = I_{t-1} + P_t - d_t</t>
        </is>
      </c>
    </row>
    <row r="38">
      <c r="B38" s="15" t="inlineStr">
        <is>
          <t>&gt;=</t>
        </is>
      </c>
      <c r="C38" s="15" t="inlineStr">
        <is>
          <t>&gt;=</t>
        </is>
      </c>
      <c r="D38" s="15" t="inlineStr">
        <is>
          <t>&gt;=</t>
        </is>
      </c>
      <c r="E38" s="15" t="inlineStr">
        <is>
          <t>&gt;=</t>
        </is>
      </c>
      <c r="F38" s="15" t="inlineStr">
        <is>
          <t>&gt;=</t>
        </is>
      </c>
      <c r="H38" s="6" t="inlineStr">
        <is>
          <t>← 제약⑤: 백오더 불허 (월말재고 ≥ 0)</t>
        </is>
      </c>
    </row>
    <row r="39">
      <c r="A39" s="4" t="inlineStr">
        <is>
          <t>수요만족을 위한 조건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H39" s="6" t="inlineStr">
        <is>
          <t>← 하한 = 0. I_t ≥ 0</t>
        </is>
      </c>
    </row>
    <row r="41">
      <c r="A41" s="2" t="inlineStr">
        <is>
          <t>발생비용(만원)</t>
        </is>
      </c>
      <c r="H41" s="3" t="inlineStr">
        <is>
          <t>【목적함수 영역 — 6가지 비용】</t>
        </is>
      </c>
    </row>
    <row r="42">
      <c r="B42" s="9" t="inlineStr">
        <is>
          <t>1월</t>
        </is>
      </c>
      <c r="C42" s="9" t="inlineStr">
        <is>
          <t>2월</t>
        </is>
      </c>
      <c r="D42" s="9" t="inlineStr">
        <is>
          <t>3월</t>
        </is>
      </c>
      <c r="E42" s="9" t="inlineStr">
        <is>
          <t>4월</t>
        </is>
      </c>
      <c r="F42" s="9" t="inlineStr">
        <is>
          <t>5월</t>
        </is>
      </c>
      <c r="G42" s="9" t="inlineStr">
        <is>
          <t>합계</t>
        </is>
      </c>
    </row>
    <row r="43">
      <c r="A43" s="4" t="inlineStr">
        <is>
          <t>고용비용</t>
        </is>
      </c>
      <c r="B43" s="18">
        <f>B19*$B$8</f>
        <v/>
      </c>
      <c r="C43" s="18">
        <f>C19*$B$8</f>
        <v/>
      </c>
      <c r="D43" s="18">
        <f>D19*$B$8</f>
        <v/>
      </c>
      <c r="E43" s="18">
        <f>E19*$B$8</f>
        <v/>
      </c>
      <c r="F43" s="18">
        <f>F19*$B$8</f>
        <v/>
      </c>
      <c r="G43" s="19">
        <f>SUM(B43:F43)</f>
        <v/>
      </c>
      <c r="H43" s="6" t="inlineStr">
        <is>
          <t>← 170 × H_t</t>
        </is>
      </c>
    </row>
    <row r="44">
      <c r="A44" s="4" t="inlineStr">
        <is>
          <t>해고비용</t>
        </is>
      </c>
      <c r="B44" s="18">
        <f>B20*$B$9</f>
        <v/>
      </c>
      <c r="C44" s="18">
        <f>C20*$B$9</f>
        <v/>
      </c>
      <c r="D44" s="18">
        <f>D20*$B$9</f>
        <v/>
      </c>
      <c r="E44" s="18">
        <f>E20*$B$9</f>
        <v/>
      </c>
      <c r="F44" s="18">
        <f>F20*$B$9</f>
        <v/>
      </c>
      <c r="G44" s="19">
        <f>SUM(B44:F44)</f>
        <v/>
      </c>
      <c r="H44" s="6" t="inlineStr">
        <is>
          <t>← 210 × F_t</t>
        </is>
      </c>
    </row>
    <row r="45">
      <c r="A45" s="4" t="inlineStr">
        <is>
          <t>정규임금</t>
        </is>
      </c>
      <c r="B45" s="18">
        <f>B21*$B$10</f>
        <v/>
      </c>
      <c r="C45" s="18">
        <f>C21*$B$10</f>
        <v/>
      </c>
      <c r="D45" s="18">
        <f>D21*$B$10</f>
        <v/>
      </c>
      <c r="E45" s="18">
        <f>E21*$B$10</f>
        <v/>
      </c>
      <c r="F45" s="18">
        <f>F21*$B$10</f>
        <v/>
      </c>
      <c r="G45" s="19">
        <f>SUM(B45:F45)</f>
        <v/>
      </c>
      <c r="H45" s="6" t="inlineStr">
        <is>
          <t>← 150 × W_t</t>
        </is>
      </c>
    </row>
    <row r="46">
      <c r="A46" s="4" t="inlineStr">
        <is>
          <t>초과작업수당</t>
        </is>
      </c>
      <c r="B46" s="18">
        <f>B24*$B$11</f>
        <v/>
      </c>
      <c r="C46" s="18">
        <f>C24*$B$11</f>
        <v/>
      </c>
      <c r="D46" s="18">
        <f>D24*$B$11</f>
        <v/>
      </c>
      <c r="E46" s="18">
        <f>E24*$B$11</f>
        <v/>
      </c>
      <c r="F46" s="18">
        <f>F24*$B$11</f>
        <v/>
      </c>
      <c r="G46" s="19">
        <f>SUM(B46:F46)</f>
        <v/>
      </c>
      <c r="H46" s="6" t="inlineStr">
        <is>
          <t>← 2 × O_t</t>
        </is>
      </c>
    </row>
    <row r="47">
      <c r="A47" s="4" t="inlineStr">
        <is>
          <t>재료비</t>
        </is>
      </c>
      <c r="B47" s="18">
        <f>B32*$B$13</f>
        <v/>
      </c>
      <c r="C47" s="18">
        <f>C32*$B$13</f>
        <v/>
      </c>
      <c r="D47" s="18">
        <f>D32*$B$13</f>
        <v/>
      </c>
      <c r="E47" s="18">
        <f>E32*$B$13</f>
        <v/>
      </c>
      <c r="F47" s="18">
        <f>F32*$B$13</f>
        <v/>
      </c>
      <c r="G47" s="19">
        <f>SUM(B47:F47)</f>
        <v/>
      </c>
      <c r="H47" s="6" t="inlineStr">
        <is>
          <t>← 3 × P_t</t>
        </is>
      </c>
    </row>
    <row r="48">
      <c r="A48" s="4" t="inlineStr">
        <is>
          <t>재고유지비</t>
        </is>
      </c>
      <c r="B48" s="18">
        <f>B37*$B$14</f>
        <v/>
      </c>
      <c r="C48" s="18">
        <f>C37*$B$14</f>
        <v/>
      </c>
      <c r="D48" s="18">
        <f>D37*$B$14</f>
        <v/>
      </c>
      <c r="E48" s="18">
        <f>E37*$B$14</f>
        <v/>
      </c>
      <c r="F48" s="18">
        <f>F37*$B$14</f>
        <v/>
      </c>
      <c r="G48" s="19">
        <f>SUM(B48:F48)</f>
        <v/>
      </c>
      <c r="H48" s="6" t="inlineStr">
        <is>
          <t>← 2 × I_t</t>
        </is>
      </c>
    </row>
    <row r="49">
      <c r="A49" s="4" t="inlineStr">
        <is>
          <t>합계</t>
        </is>
      </c>
      <c r="B49" s="19">
        <f>SUM(B43:B48)</f>
        <v/>
      </c>
      <c r="C49" s="19">
        <f>SUM(C43:C48)</f>
        <v/>
      </c>
      <c r="D49" s="19">
        <f>SUM(D43:D48)</f>
        <v/>
      </c>
      <c r="E49" s="19">
        <f>SUM(E43:E48)</f>
        <v/>
      </c>
      <c r="F49" s="19">
        <f>SUM(F43:F48)</f>
        <v/>
      </c>
      <c r="G49" s="20">
        <f>SUM(G43:G48)</f>
        <v/>
      </c>
      <c r="H49" s="12" t="inlineStr">
        <is>
          <t>← ★ 목적 셀: min Z = Σ(고용+해고+정규+초과+재료+재고)</t>
        </is>
      </c>
    </row>
    <row r="51">
      <c r="A51" s="2" t="inlineStr">
        <is>
          <t>수식 참조</t>
        </is>
      </c>
    </row>
    <row r="52">
      <c r="A52" s="8" t="inlineStr">
        <is>
          <t>B21 = B18 + B19 - B20  (인원 Balance: 이월 + 고용 - 해고)</t>
        </is>
      </c>
    </row>
    <row r="53">
      <c r="A53" s="8" t="inlineStr">
        <is>
          <t>C18 = B21  (전월 근무가능 → 이번달 이월)</t>
        </is>
      </c>
    </row>
    <row r="54">
      <c r="A54" s="8" t="inlineStr">
        <is>
          <t>B23 = B21 * $B$6  (정규시간 = 인원 × 160)</t>
        </is>
      </c>
    </row>
    <row r="55">
      <c r="A55" s="8" t="inlineStr">
        <is>
          <t>B26 = B21 * $B$7  (최대초과 = 인원 × 20)</t>
        </is>
      </c>
    </row>
    <row r="56">
      <c r="A56" s="8" t="inlineStr">
        <is>
          <t>B28 = B23 + B24  (총작업시간 = 정규 + 초과)</t>
        </is>
      </c>
    </row>
    <row r="57">
      <c r="A57" s="8" t="inlineStr">
        <is>
          <t>B34 = B28 / $B$12  (생산능력 = 총시간 / 4)</t>
        </is>
      </c>
    </row>
    <row r="58">
      <c r="A58" s="8" t="inlineStr">
        <is>
          <t>B37 = $B$4 + B32 - B36  (1월 재고: 초기재고 + 생산 - 수요)</t>
        </is>
      </c>
    </row>
    <row r="59">
      <c r="A59" s="8" t="inlineStr">
        <is>
          <t>C37 = B37 + C32 - C36  (2월~ 재고: 전월재고 + 생산 - 수요)</t>
        </is>
      </c>
    </row>
    <row r="61">
      <c r="A61" s="21" t="inlineStr">
        <is>
          <t>정수 최적해 결과</t>
        </is>
      </c>
    </row>
    <row r="62">
      <c r="A62" s="8" t="inlineStr">
        <is>
          <t>목표셀(총비용) = 14,065 (만원) ≈ 1억 4,065만원</t>
        </is>
      </c>
    </row>
    <row r="63">
      <c r="A63" s="4" t="inlineStr">
        <is>
          <t>실수해(14,001) → 정수해(14,065): 차이 64만원 = 정수 제약의 비용</t>
        </is>
      </c>
    </row>
  </sheetData>
  <mergeCells count="8">
    <mergeCell ref="A58:G58"/>
    <mergeCell ref="A56:G56"/>
    <mergeCell ref="A53:G53"/>
    <mergeCell ref="A55:G55"/>
    <mergeCell ref="A54:G54"/>
    <mergeCell ref="A52:G52"/>
    <mergeCell ref="A59:G59"/>
    <mergeCell ref="A57:G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55" customWidth="1" min="4" max="4"/>
  </cols>
  <sheetData>
    <row r="1">
      <c r="A1" s="22" t="inlineStr">
        <is>
          <t>수식 해설 — 각 셀이 무엇을 계산하고, 왜 필요한가</t>
        </is>
      </c>
    </row>
    <row r="3">
      <c r="A3" s="9" t="inlineStr">
        <is>
          <t>셀</t>
        </is>
      </c>
      <c r="B3" s="9" t="inlineStr">
        <is>
          <t>수식</t>
        </is>
      </c>
      <c r="C3" s="9" t="inlineStr">
        <is>
          <t>무엇을 계산하는가</t>
        </is>
      </c>
      <c r="D3" s="9" t="inlineStr">
        <is>
          <t>왜 필요한가 (인과)</t>
        </is>
      </c>
    </row>
    <row r="4">
      <c r="A4" s="23" t="inlineStr">
        <is>
          <t>B18</t>
        </is>
      </c>
      <c r="B4" s="24">
        <f>$B$5</f>
        <v/>
      </c>
      <c r="C4" s="24" t="inlineStr">
        <is>
          <t>1월초 이월 인원 = 초기 작업자 3명</t>
        </is>
      </c>
      <c r="D4" s="24" t="inlineStr">
        <is>
          <t>인원 Balance의 시작점 (y₀에 해당)</t>
        </is>
      </c>
    </row>
    <row r="5">
      <c r="A5" s="23" t="inlineStr">
        <is>
          <t>C18</t>
        </is>
      </c>
      <c r="B5" s="24">
        <f>B21</f>
        <v/>
      </c>
      <c r="C5" s="24" t="inlineStr">
        <is>
          <t>2월 이월 = 1월 근무가능 인원</t>
        </is>
      </c>
      <c r="D5" s="24" t="inlineStr">
        <is>
          <t>인원 체인: 전월 말 인원 → 이번달 초 이월</t>
        </is>
      </c>
    </row>
    <row r="6">
      <c r="A6" s="23" t="inlineStr">
        <is>
          <t>B19:F19</t>
        </is>
      </c>
      <c r="B6" s="24" t="inlineStr">
        <is>
          <t>(결정변수)</t>
        </is>
      </c>
      <c r="C6" s="24" t="inlineStr">
        <is>
          <t>월별 고용 H_t (명)</t>
        </is>
      </c>
      <c r="D6" s="24" t="inlineStr">
        <is>
          <t>★ Solver 변경 셀. 인원을 늘리는 레버</t>
        </is>
      </c>
    </row>
    <row r="7">
      <c r="A7" s="23" t="inlineStr">
        <is>
          <t>B20:F20</t>
        </is>
      </c>
      <c r="B7" s="24" t="inlineStr">
        <is>
          <t>(결정변수)</t>
        </is>
      </c>
      <c r="C7" s="24" t="inlineStr">
        <is>
          <t>월별 해고 F_t (명)</t>
        </is>
      </c>
      <c r="D7" s="24" t="inlineStr">
        <is>
          <t>★ Solver 변경 셀. 인원을 줄이는 레버</t>
        </is>
      </c>
    </row>
    <row r="8">
      <c r="A8" s="23" t="inlineStr">
        <is>
          <t>B21</t>
        </is>
      </c>
      <c r="B8" s="24">
        <f>B18+B19-B20</f>
        <v/>
      </c>
      <c r="C8" s="24" t="inlineStr">
        <is>
          <t>근무가능 W_t = 이월+고용-해고</t>
        </is>
      </c>
      <c r="D8" s="24" t="inlineStr">
        <is>
          <t>★ 인원 Balance Eq. 핵심. W₀=3에서 시작</t>
        </is>
      </c>
    </row>
    <row r="9">
      <c r="A9" s="23" t="inlineStr">
        <is>
          <t>B23</t>
        </is>
      </c>
      <c r="B9" s="24">
        <f>B21*$B$6</f>
        <v/>
      </c>
      <c r="C9" s="24" t="inlineStr">
        <is>
          <t>정규작업시간 = W_t × 160</t>
        </is>
      </c>
      <c r="D9" s="24" t="inlineStr">
        <is>
          <t>인원이 결정되면 자동. 총작업시간의 기본 부분</t>
        </is>
      </c>
    </row>
    <row r="10">
      <c r="A10" s="23" t="inlineStr">
        <is>
          <t>B24:F24</t>
        </is>
      </c>
      <c r="B10" s="24" t="inlineStr">
        <is>
          <t>(결정변수)</t>
        </is>
      </c>
      <c r="C10" s="24" t="inlineStr">
        <is>
          <t>초과작업시간 O_t</t>
        </is>
      </c>
      <c r="D10" s="24" t="inlineStr">
        <is>
          <t>★ 정규시간으로 부족할 때 추가 생산력 확보</t>
        </is>
      </c>
    </row>
    <row r="11">
      <c r="A11" s="23" t="inlineStr">
        <is>
          <t>B26</t>
        </is>
      </c>
      <c r="B11" s="24">
        <f>B21*$B$7</f>
        <v/>
      </c>
      <c r="C11" s="24" t="inlineStr">
        <is>
          <t>최대초과 = W_t × 20</t>
        </is>
      </c>
      <c r="D11" s="24" t="inlineStr">
        <is>
          <t>제약②의 RHS. 1인 20h 한도 → 인원에 비례</t>
        </is>
      </c>
    </row>
    <row r="12">
      <c r="A12" s="23" t="inlineStr">
        <is>
          <t>B28</t>
        </is>
      </c>
      <c r="B12" s="24">
        <f>B23+B24</f>
        <v/>
      </c>
      <c r="C12" s="24" t="inlineStr">
        <is>
          <t>총작업시간 = 정규 + 초과</t>
        </is>
      </c>
      <c r="D12" s="24" t="inlineStr">
        <is>
          <t>생산능력 계산의 입력</t>
        </is>
      </c>
    </row>
    <row r="13">
      <c r="A13" s="23" t="inlineStr">
        <is>
          <t>B34</t>
        </is>
      </c>
      <c r="B13" s="24">
        <f>B28/$B$12</f>
        <v/>
      </c>
      <c r="C13" s="24" t="inlineStr">
        <is>
          <t>생산능력 = 총시간 / 4</t>
        </is>
      </c>
      <c r="D13" s="24" t="inlineStr">
        <is>
          <t>제약③의 RHS. 축구공(고정30)과 달리 인원에 따라 변동</t>
        </is>
      </c>
    </row>
    <row r="14">
      <c r="A14" s="23" t="inlineStr">
        <is>
          <t>B32:F32</t>
        </is>
      </c>
      <c r="B14" s="24" t="inlineStr">
        <is>
          <t>(결정변수)</t>
        </is>
      </c>
      <c r="C14" s="24" t="inlineStr">
        <is>
          <t>생산량 P_t (개)</t>
        </is>
      </c>
      <c r="D14" s="24" t="inlineStr">
        <is>
          <t>★ 능력 이하로만 가능. 수요보다 많이 만들어 재고 비축 가능</t>
        </is>
      </c>
    </row>
    <row r="15">
      <c r="A15" s="23" t="inlineStr">
        <is>
          <t>B37</t>
        </is>
      </c>
      <c r="B15" s="24">
        <f>$B$4+B32-B36</f>
        <v/>
      </c>
      <c r="C15" s="24" t="inlineStr">
        <is>
          <t>1월 재고 = 초기(55)+생산-수요</t>
        </is>
      </c>
      <c r="D15" s="24" t="inlineStr">
        <is>
          <t>★ 재고 Balance. 축구공과 동일 구조</t>
        </is>
      </c>
    </row>
    <row r="16">
      <c r="A16" s="23" t="inlineStr">
        <is>
          <t>C37</t>
        </is>
      </c>
      <c r="B16" s="24">
        <f>B37+C32-C36</f>
        <v/>
      </c>
      <c r="C16" s="24" t="inlineStr">
        <is>
          <t>2월~ 재고 = 전월재고+생산-수요</t>
        </is>
      </c>
      <c r="D16" s="24" t="inlineStr">
        <is>
          <t>재고 체인. I₀=55에서 시작</t>
        </is>
      </c>
    </row>
    <row r="17">
      <c r="A17" s="23" t="inlineStr">
        <is>
          <t>B43</t>
        </is>
      </c>
      <c r="B17" s="24">
        <f>B19*$B$8</f>
        <v/>
      </c>
      <c r="C17" s="24" t="inlineStr">
        <is>
          <t>고용비 = H_t × 170</t>
        </is>
      </c>
      <c r="D17" s="24" t="inlineStr">
        <is>
          <t>목적함수 6항 중 ①</t>
        </is>
      </c>
    </row>
    <row r="18">
      <c r="A18" s="23" t="inlineStr">
        <is>
          <t>B44</t>
        </is>
      </c>
      <c r="B18" s="24">
        <f>B20*$B$9</f>
        <v/>
      </c>
      <c r="C18" s="24" t="inlineStr">
        <is>
          <t>해고비 = F_t × 210</t>
        </is>
      </c>
      <c r="D18" s="24" t="inlineStr">
        <is>
          <t>목적함수 ② (고용보다 비쌈!)</t>
        </is>
      </c>
    </row>
    <row r="19">
      <c r="A19" s="23" t="inlineStr">
        <is>
          <t>B45</t>
        </is>
      </c>
      <c r="B19" s="24">
        <f>B21*$B$10</f>
        <v/>
      </c>
      <c r="C19" s="24" t="inlineStr">
        <is>
          <t>정규임금 = W_t × 150</t>
        </is>
      </c>
      <c r="D19" s="24" t="inlineStr">
        <is>
          <t>목적함수 ③ (인원 비례)</t>
        </is>
      </c>
    </row>
    <row r="20">
      <c r="A20" s="23" t="inlineStr">
        <is>
          <t>B46</t>
        </is>
      </c>
      <c r="B20" s="24">
        <f>B24*$B$11</f>
        <v/>
      </c>
      <c r="C20" s="24" t="inlineStr">
        <is>
          <t>초과수당 = O_t × 2</t>
        </is>
      </c>
      <c r="D20" s="24" t="inlineStr">
        <is>
          <t>목적함수 ④</t>
        </is>
      </c>
    </row>
    <row r="21">
      <c r="A21" s="23" t="inlineStr">
        <is>
          <t>B47</t>
        </is>
      </c>
      <c r="B21" s="24">
        <f>B32*$B$13</f>
        <v/>
      </c>
      <c r="C21" s="24" t="inlineStr">
        <is>
          <t>재료비 = P_t × 3</t>
        </is>
      </c>
      <c r="D21" s="24" t="inlineStr">
        <is>
          <t>목적함수 ⑤</t>
        </is>
      </c>
    </row>
    <row r="22">
      <c r="A22" s="23" t="inlineStr">
        <is>
          <t>B48</t>
        </is>
      </c>
      <c r="B22" s="24">
        <f>B37*$B$14</f>
        <v/>
      </c>
      <c r="C22" s="24" t="inlineStr">
        <is>
          <t>재고비 = I_t × 2</t>
        </is>
      </c>
      <c r="D22" s="24" t="inlineStr">
        <is>
          <t>목적함수 ⑥</t>
        </is>
      </c>
    </row>
    <row r="23">
      <c r="A23" s="23" t="inlineStr">
        <is>
          <t>G49</t>
        </is>
      </c>
      <c r="B23" s="24">
        <f>SUM(G43:G48)</f>
        <v/>
      </c>
      <c r="C23" s="24" t="inlineStr">
        <is>
          <t>5개월 총비용 Z</t>
        </is>
      </c>
      <c r="D23" s="24" t="inlineStr">
        <is>
          <t>★ 목적 셀 → Solver Min</t>
        </is>
      </c>
    </row>
    <row r="26">
      <c r="A26" s="25" t="inlineStr">
        <is>
          <t>수식 연쇄 흐름도 (2중 Balance)</t>
        </is>
      </c>
    </row>
    <row r="27">
      <c r="A27" s="26" t="inlineStr">
        <is>
          <t>H_t, F_t (고용·해고) ──→ 인원 Balance ──→ W_t(근무가능인원)</t>
        </is>
      </c>
    </row>
    <row r="28">
      <c r="A28" s="26" t="inlineStr">
        <is>
          <t xml:space="preserve">                                            │</t>
        </is>
      </c>
    </row>
    <row r="29">
      <c r="A29" s="26" t="inlineStr">
        <is>
          <t xml:space="preserve">                              ┌──── × 160 ──┤── 정규시간(행23)</t>
        </is>
      </c>
    </row>
    <row r="30">
      <c r="A30" s="26" t="inlineStr">
        <is>
          <t xml:space="preserve">                              │              │</t>
        </is>
      </c>
    </row>
    <row r="31">
      <c r="A31" s="26" t="inlineStr">
        <is>
          <t xml:space="preserve">                              │    ┌── × 20 ─┘── 초과상한(행26, 제약②의 RHS)</t>
        </is>
      </c>
    </row>
    <row r="32">
      <c r="A32" s="26" t="inlineStr">
        <is>
          <t xml:space="preserve">                              │    │</t>
        </is>
      </c>
    </row>
    <row r="33">
      <c r="A33" s="26" t="inlineStr">
        <is>
          <t xml:space="preserve">                              │    └── O_t(초과, 결정변수) ≤ 초과상한</t>
        </is>
      </c>
    </row>
    <row r="34">
      <c r="A34" s="26" t="inlineStr">
        <is>
          <t xml:space="preserve">                              │         │</t>
        </is>
      </c>
    </row>
    <row r="35">
      <c r="A35" s="26" t="inlineStr">
        <is>
          <t xml:space="preserve">                              └─ 정규 + O_t ──→ 총시간(행28) ──→ ÷4 ──→ 생산능력(행34, 제약③ RHS)</t>
        </is>
      </c>
    </row>
    <row r="36">
      <c r="A36" s="26" t="inlineStr">
        <is>
          <t xml:space="preserve">                                                                           │</t>
        </is>
      </c>
    </row>
    <row r="37">
      <c r="A37" s="26" t="inlineStr">
        <is>
          <t>P_t(생산, 결정변수) ≤ 생산능력 ─────────────────────────────────────────────┘</t>
        </is>
      </c>
    </row>
    <row r="38">
      <c r="A38" s="26" t="inlineStr">
        <is>
          <t xml:space="preserve">     │</t>
        </is>
      </c>
    </row>
    <row r="39">
      <c r="A39" s="26" t="inlineStr">
        <is>
          <t xml:space="preserve">     └──→ 재고 Balance ──→ I_t(월말재고) ≥ 0 (제약⑤)</t>
        </is>
      </c>
    </row>
    <row r="40">
      <c r="A40" s="26" t="inlineStr"/>
    </row>
    <row r="41">
      <c r="A41" s="26" t="inlineStr">
        <is>
          <t>비용: 170H + 210F + 150W + 2O + 3P + 2I ──→ 총비용 Z(G49) → Min</t>
        </is>
      </c>
    </row>
  </sheetData>
  <mergeCells count="15">
    <mergeCell ref="A37:D37"/>
    <mergeCell ref="A40:D40"/>
    <mergeCell ref="A27:D27"/>
    <mergeCell ref="A31:D31"/>
    <mergeCell ref="A34:D34"/>
    <mergeCell ref="A35:D35"/>
    <mergeCell ref="A30:D30"/>
    <mergeCell ref="A38:D38"/>
    <mergeCell ref="A39:D39"/>
    <mergeCell ref="A29:D29"/>
    <mergeCell ref="A41:D41"/>
    <mergeCell ref="A33:D33"/>
    <mergeCell ref="A28:D28"/>
    <mergeCell ref="A32:D32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8" customWidth="1" min="4" max="4"/>
    <col width="55" customWidth="1" min="5" max="5"/>
  </cols>
  <sheetData>
    <row r="1">
      <c r="A1" s="22" t="inlineStr">
        <is>
          <t>제약조건 해설</t>
        </is>
      </c>
    </row>
    <row r="3">
      <c r="A3" s="9" t="inlineStr">
        <is>
          <t>#</t>
        </is>
      </c>
      <c r="B3" s="9" t="inlineStr">
        <is>
          <t>제약 이름</t>
        </is>
      </c>
      <c r="C3" s="9" t="inlineStr">
        <is>
          <t>수식 (대수)</t>
        </is>
      </c>
      <c r="D3" s="9" t="inlineStr">
        <is>
          <t>엑셀 셀</t>
        </is>
      </c>
      <c r="E3" s="9" t="inlineStr">
        <is>
          <t>인과</t>
        </is>
      </c>
    </row>
    <row r="4">
      <c r="A4" s="27" t="inlineStr">
        <is>
          <t>①</t>
        </is>
      </c>
      <c r="B4" s="27" t="inlineStr">
        <is>
          <t>인원 수지</t>
        </is>
      </c>
      <c r="C4" s="27" t="inlineStr">
        <is>
          <t>W_t = W_{t-1}+H_t-F_t (W₀=3)</t>
        </is>
      </c>
      <c r="D4" s="27" t="inlineStr">
        <is>
          <t>행21 수식</t>
        </is>
      </c>
      <c r="E4" s="27" t="inlineStr">
        <is>
          <t>엑셀 수식으로 구현. Solver 제약 아님. 고용·해고가 인원으로 이어지는 체인</t>
        </is>
      </c>
    </row>
    <row r="5">
      <c r="A5" s="28" t="inlineStr">
        <is>
          <t>②</t>
        </is>
      </c>
      <c r="B5" s="28" t="inlineStr">
        <is>
          <t>초과작업 상한</t>
        </is>
      </c>
      <c r="C5" s="28" t="inlineStr">
        <is>
          <t>O_t ≤ 20 × W_t</t>
        </is>
      </c>
      <c r="D5" s="28" t="inlineStr">
        <is>
          <t>행24 ≤ 행26</t>
        </is>
      </c>
      <c r="E5" s="28" t="inlineStr">
        <is>
          <t>1인당 월 20시간 한도. 인원이 줄면 초과작업 가능량도 줄어듦</t>
        </is>
      </c>
    </row>
    <row r="6">
      <c r="A6" s="28" t="inlineStr">
        <is>
          <t>③</t>
        </is>
      </c>
      <c r="B6" s="28" t="inlineStr">
        <is>
          <t>생산량 상한</t>
        </is>
      </c>
      <c r="C6" s="28" t="inlineStr">
        <is>
          <t>P_t ≤ (160W_t+O_t)/4</t>
        </is>
      </c>
      <c r="D6" s="28" t="inlineStr">
        <is>
          <t>행32 ≤ 행34</t>
        </is>
      </c>
      <c r="E6" s="28" t="inlineStr">
        <is>
          <t>총작업시간/4 = 능력. 인원·초과에 따라 변동 (축구공의 고정30과 다름)</t>
        </is>
      </c>
    </row>
    <row r="7">
      <c r="A7" s="27" t="inlineStr">
        <is>
          <t>④</t>
        </is>
      </c>
      <c r="B7" s="27" t="inlineStr">
        <is>
          <t>재고 수지</t>
        </is>
      </c>
      <c r="C7" s="27" t="inlineStr">
        <is>
          <t>I_t = I_{t-1}+P_t-d_t (I₀=55)</t>
        </is>
      </c>
      <c r="D7" s="27" t="inlineStr">
        <is>
          <t>행37 수식</t>
        </is>
      </c>
      <c r="E7" s="27" t="inlineStr">
        <is>
          <t>엑셀 수식으로 구현. 축구공(§6)과 동일 구조</t>
        </is>
      </c>
    </row>
    <row r="8">
      <c r="A8" s="29" t="inlineStr">
        <is>
          <t>⑤</t>
        </is>
      </c>
      <c r="B8" s="29" t="inlineStr">
        <is>
          <t>백오더 불허</t>
        </is>
      </c>
      <c r="C8" s="29" t="inlineStr">
        <is>
          <t>I_t ≥ 0</t>
        </is>
      </c>
      <c r="D8" s="29" t="inlineStr">
        <is>
          <t>행37 ≥ 행39</t>
        </is>
      </c>
      <c r="E8" s="29" t="inlineStr">
        <is>
          <t>주문미처리 허용 안 함. 당월 수요를 반드시 충족</t>
        </is>
      </c>
    </row>
    <row r="9">
      <c r="A9" s="29" t="inlineStr">
        <is>
          <t>⑥</t>
        </is>
      </c>
      <c r="B9" s="29" t="inlineStr">
        <is>
          <t>비음 조건</t>
        </is>
      </c>
      <c r="C9" s="29" t="inlineStr">
        <is>
          <t>H_t, F_t, O_t, P_t ≥ 0</t>
        </is>
      </c>
      <c r="D9" s="29" t="inlineStr">
        <is>
          <t>변경셀 ≥ 0</t>
        </is>
      </c>
      <c r="E9" s="29" t="inlineStr">
        <is>
          <t>음수 고용·해고·초과·생산은 물리적 불가</t>
        </is>
      </c>
    </row>
    <row r="12">
      <c r="A12" s="25" t="inlineStr">
        <is>
          <t>Solver 설정 요약</t>
        </is>
      </c>
    </row>
    <row r="13">
      <c r="A13" s="9" t="inlineStr">
        <is>
          <t>항목</t>
        </is>
      </c>
      <c r="B13" s="9" t="inlineStr">
        <is>
          <t>설정</t>
        </is>
      </c>
      <c r="C13" s="9" t="inlineStr">
        <is>
          <t>비고</t>
        </is>
      </c>
    </row>
    <row r="14">
      <c r="A14" s="4" t="inlineStr">
        <is>
          <t>목적 셀</t>
        </is>
      </c>
      <c r="B14" s="24" t="inlineStr">
        <is>
          <t>G49 = SUM(G43:G48)</t>
        </is>
      </c>
      <c r="C14" s="24" t="inlineStr">
        <is>
          <t>→ Min (5개월 총비용)</t>
        </is>
      </c>
    </row>
    <row r="15">
      <c r="A15" s="4" t="inlineStr">
        <is>
          <t>변경 셀</t>
        </is>
      </c>
      <c r="B15" s="24" t="inlineStr">
        <is>
          <t>B19:F19, B20:F20, B24:F24, B32:F32</t>
        </is>
      </c>
      <c r="C15" s="24" t="inlineStr">
        <is>
          <t>H,F,O,P × 5 = 20개</t>
        </is>
      </c>
    </row>
    <row r="16">
      <c r="A16" s="4" t="inlineStr">
        <is>
          <t>제약②</t>
        </is>
      </c>
      <c r="B16" s="24" t="inlineStr">
        <is>
          <t>B24:F24 ≤ B26:F26</t>
        </is>
      </c>
      <c r="C16" s="24" t="inlineStr">
        <is>
          <t>초과작업 ≤ 인원×20</t>
        </is>
      </c>
    </row>
    <row r="17">
      <c r="A17" s="4" t="inlineStr">
        <is>
          <t>제약③</t>
        </is>
      </c>
      <c r="B17" s="24" t="inlineStr">
        <is>
          <t>B32:F32 ≤ B34:F34</t>
        </is>
      </c>
      <c r="C17" s="24" t="inlineStr">
        <is>
          <t>생산량 ≤ 생산능력</t>
        </is>
      </c>
    </row>
    <row r="18">
      <c r="A18" s="4" t="inlineStr">
        <is>
          <t>제약⑤</t>
        </is>
      </c>
      <c r="B18" s="24" t="inlineStr">
        <is>
          <t>B37:F37 ≥ 0</t>
        </is>
      </c>
      <c r="C18" s="24" t="inlineStr">
        <is>
          <t>백오더 불허</t>
        </is>
      </c>
    </row>
    <row r="19">
      <c r="A19" s="4" t="inlineStr">
        <is>
          <t>제약⑥</t>
        </is>
      </c>
      <c r="B19" s="24" t="inlineStr">
        <is>
          <t>변경셀 ≥ 0</t>
        </is>
      </c>
      <c r="C19" s="24" t="inlineStr">
        <is>
          <t>비음 (또는 Solver 옵션 체크)</t>
        </is>
      </c>
    </row>
    <row r="20">
      <c r="A20" s="4" t="inlineStr">
        <is>
          <t>해법</t>
        </is>
      </c>
      <c r="B20" s="24" t="inlineStr">
        <is>
          <t>Simplex LP</t>
        </is>
      </c>
      <c r="C20" s="24" t="inlineStr">
        <is>
          <t>1차: 실수 → 14,001</t>
        </is>
      </c>
    </row>
    <row r="21">
      <c r="A21" s="4" t="inlineStr"/>
      <c r="B21" s="24" t="inlineStr"/>
      <c r="C21" s="24" t="inlineStr"/>
    </row>
    <row r="22">
      <c r="A22" s="8" t="inlineStr">
        <is>
          <t>정수화</t>
        </is>
      </c>
      <c r="B22" s="24" t="inlineStr">
        <is>
          <t>B19:F19, B20:F20 = integer</t>
        </is>
      </c>
      <c r="C22" s="24" t="inlineStr">
        <is>
          <t>고용·해고는 정수(사람 수)</t>
        </is>
      </c>
    </row>
    <row r="23">
      <c r="A23" s="8" t="inlineStr">
        <is>
          <t>옵션</t>
        </is>
      </c>
      <c r="B23" s="24" t="inlineStr">
        <is>
          <t>정수 최적화 비율 = 0%</t>
        </is>
      </c>
      <c r="C23" s="24" t="inlineStr">
        <is>
          <t>정확한 정수 최적해 보장</t>
        </is>
      </c>
    </row>
    <row r="24">
      <c r="A24" s="4" t="inlineStr">
        <is>
          <t>결과</t>
        </is>
      </c>
      <c r="B24" s="24" t="inlineStr">
        <is>
          <t>정수 최적해 = 14,065</t>
        </is>
      </c>
      <c r="C24" s="24" t="inlineStr">
        <is>
          <t>실수해 대비 +64만원</t>
        </is>
      </c>
    </row>
    <row r="27">
      <c r="A27" s="25" t="inlineStr">
        <is>
          <t>염두에 둘 것 — 예외 처리·주의사항</t>
        </is>
      </c>
    </row>
    <row r="28">
      <c r="A28" s="30" t="inlineStr">
        <is>
          <t>1. 같은 달에 H_t&gt;0, F_t&gt;0 동시 발생? → LP가 자동으로 한쪽만 양수로 만듦 (비용 낭비 방지)</t>
        </is>
      </c>
    </row>
    <row r="29">
      <c r="A29" s="30" t="inlineStr">
        <is>
          <t>2. 3월 수요(550) 대응: 정규시간만으로 10명×160h/4=400개. 부족 150개 → 초과작업+재고로 보충</t>
        </is>
      </c>
    </row>
    <row r="30">
      <c r="A30" s="30" t="inlineStr">
        <is>
          <t xml:space="preserve">   정수해: 1~2월에 미리 만들어 재고 105+105 쌓고, 3월 초과 180h로 445개 생산 → 105+445-550=0</t>
        </is>
      </c>
    </row>
    <row r="31">
      <c r="A31" s="30" t="inlineStr">
        <is>
          <t>3. 해고비(210) &gt; 고용비(170) → LP는 인원을 안정적으로 유지하려 함</t>
        </is>
      </c>
    </row>
    <row r="32">
      <c r="A32" s="30" t="inlineStr">
        <is>
          <t>4. 4월 이후 수요 급감(200,210) → 4월에 5명 해고. 해고비 비싸지만 이후 정규임금 절감이 더 큼</t>
        </is>
      </c>
    </row>
    <row r="33">
      <c r="A33" s="30" t="inlineStr">
        <is>
          <t>5. 정수화 시 주의: 실수해에서 H₁=6.96 → 정수해 7. F₄=4.84 → 5. 이로 인해 Z가 64만원↑</t>
        </is>
      </c>
    </row>
    <row r="34">
      <c r="A34" s="30" t="inlineStr">
        <is>
          <t>6. Balance Eq.(행21, 행37)는 수식 셀 → Solver 제약에 넣지 않음!</t>
        </is>
      </c>
    </row>
    <row r="35">
      <c r="A35" s="30" t="inlineStr">
        <is>
          <t>7. 단위: 모든 비용 만원. Z=14,065 → 약 1억 4천만원</t>
        </is>
      </c>
    </row>
    <row r="38">
      <c r="A38" s="25" t="inlineStr">
        <is>
          <t>7개 문제 전체 대조</t>
        </is>
      </c>
    </row>
    <row r="39">
      <c r="A39" s="9" t="inlineStr">
        <is>
          <t>문제</t>
        </is>
      </c>
      <c r="B39" s="9" t="inlineStr">
        <is>
          <t>변수 수</t>
        </is>
      </c>
      <c r="C39" s="9" t="inlineStr">
        <is>
          <t>Balance</t>
        </is>
      </c>
      <c r="D39" s="9" t="inlineStr">
        <is>
          <t>비용 항목</t>
        </is>
      </c>
      <c r="E39" s="9" t="inlineStr">
        <is>
          <t>정수 이슈</t>
        </is>
      </c>
    </row>
    <row r="40">
      <c r="A40" s="4" t="inlineStr">
        <is>
          <t>Decora(절단)</t>
        </is>
      </c>
      <c r="B40" s="15" t="inlineStr">
        <is>
          <t>26</t>
        </is>
      </c>
      <c r="C40" t="inlineStr">
        <is>
          <t>없음</t>
        </is>
      </c>
      <c r="D40" t="inlineStr">
        <is>
          <t>1(봉 수)</t>
        </is>
      </c>
      <c r="E40" t="inlineStr">
        <is>
          <t>패턴횟수(정수)</t>
        </is>
      </c>
    </row>
    <row r="41">
      <c r="A41" s="4" t="inlineStr">
        <is>
          <t>Big M(운송)</t>
        </is>
      </c>
      <c r="B41" s="15" t="inlineStr">
        <is>
          <t>6</t>
        </is>
      </c>
      <c r="C41" t="inlineStr">
        <is>
          <t>없음</t>
        </is>
      </c>
      <c r="D41" t="inlineStr">
        <is>
          <t>1(운송비)</t>
        </is>
      </c>
      <c r="E41" t="inlineStr">
        <is>
          <t>없음</t>
        </is>
      </c>
    </row>
    <row r="42">
      <c r="A42" s="4" t="inlineStr">
        <is>
          <t>Sellmore(할당)</t>
        </is>
      </c>
      <c r="B42" s="15" t="inlineStr">
        <is>
          <t>16</t>
        </is>
      </c>
      <c r="C42" t="inlineStr">
        <is>
          <t>없음</t>
        </is>
      </c>
      <c r="D42" t="inlineStr">
        <is>
          <t>1(인건비)</t>
        </is>
      </c>
      <c r="E42" t="inlineStr">
        <is>
          <t>0-1(자동 정수)</t>
        </is>
      </c>
    </row>
    <row r="43">
      <c r="A43" s="4" t="inlineStr">
        <is>
          <t>W사(혼합)</t>
        </is>
      </c>
      <c r="B43" s="15" t="inlineStr">
        <is>
          <t>6</t>
        </is>
      </c>
      <c r="C43" t="inlineStr">
        <is>
          <t>없음</t>
        </is>
      </c>
      <c r="D43" t="inlineStr">
        <is>
          <t>1(이익)</t>
        </is>
      </c>
      <c r="E43" t="inlineStr">
        <is>
          <t>없음</t>
        </is>
      </c>
    </row>
    <row r="44">
      <c r="A44" s="4" t="inlineStr">
        <is>
          <t>축구공(동적)</t>
        </is>
      </c>
      <c r="B44" s="15" t="inlineStr">
        <is>
          <t>6</t>
        </is>
      </c>
      <c r="C44" t="inlineStr">
        <is>
          <t>1(재고)</t>
        </is>
      </c>
      <c r="D44" t="inlineStr">
        <is>
          <t>2(생산+재고)</t>
        </is>
      </c>
      <c r="E44" t="inlineStr">
        <is>
          <t>없음</t>
        </is>
      </c>
    </row>
    <row r="45">
      <c r="A45" s="4" t="inlineStr">
        <is>
          <t>행복가구(총괄)</t>
        </is>
      </c>
      <c r="B45" s="15" t="inlineStr">
        <is>
          <t>20</t>
        </is>
      </c>
      <c r="C45" t="inlineStr">
        <is>
          <t>2(인원+재고)</t>
        </is>
      </c>
      <c r="D45" t="inlineStr">
        <is>
          <t>6(고용+해고+임금+초과+재료+재고)</t>
        </is>
      </c>
      <c r="E45" t="inlineStr">
        <is>
          <t>고용·해고(정수)</t>
        </is>
      </c>
    </row>
  </sheetData>
  <mergeCells count="8">
    <mergeCell ref="A30:E30"/>
    <mergeCell ref="A34:E34"/>
    <mergeCell ref="A29:E29"/>
    <mergeCell ref="A35:E35"/>
    <mergeCell ref="A28:E28"/>
    <mergeCell ref="A33:E33"/>
    <mergeCell ref="A32:E32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2026-03-30T07:03:33Z</dcterms:created>
  <dcterms:modified xsi:type="dcterms:W3CDTF">2026-03-30T07:03:33Z</dcterms:modified>
</cp:coreProperties>
</file>